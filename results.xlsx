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Dynamic — Raw Data" sheetId="2" state="visible" r:id="rId4"/>
    <sheet name="Dynamic — Summary" sheetId="3" state="visible" r:id="rId5"/>
    <sheet name="Baseline — Raw Data" sheetId="4" state="visible" r:id="rId6"/>
    <sheet name="Baseline — Summary" sheetId="5" state="visible" r:id="rId7"/>
    <sheet name="Adversarial — Raw Data" sheetId="6" state="visible" r:id="rId8"/>
    <sheet name="Adversarial — 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<sst xmlns="http://schemas.openxmlformats.org/spreadsheetml/2006/main" count="446" uniqueCount="110">
  <si>
    <t xml:space="preserve">Model Comparison — Mean ± Std Dev across 30 Runs</t>
  </si>
  <si>
    <t xml:space="preserve">Metric</t>
  </si>
  <si>
    <t xml:space="preserve">Dynamic (Current)</t>
  </si>
  <si>
    <t xml:space="preserve">Baseline ⚠</t>
  </si>
  <si>
    <t xml:space="preserve">Adversarial Fixed Alpha ⚠</t>
  </si>
  <si>
    <t xml:space="preserve">Mean</t>
  </si>
  <si>
    <t xml:space="preserve">Std Dev</t>
  </si>
  <si>
    <t xml:space="preserve">95% CI Low</t>
  </si>
  <si>
    <t xml:space="preserve">95% CI High</t>
  </si>
  <si>
    <t xml:space="preserve">ACC</t>
  </si>
  <si>
    <t xml:space="preserve">DEO</t>
  </si>
  <si>
    <t xml:space="preserve">DAO</t>
  </si>
  <si>
    <t xml:space="preserve">Runtime</t>
  </si>
  <si>
    <t xml:space="preserve">⚠  Baseline and Adversarial Fixed Alpha columns contain placeholder data. Replace raw data sheets when real results are available.</t>
  </si>
  <si>
    <t xml:space="preserve">Run Name</t>
  </si>
  <si>
    <t xml:space="preserve">Runtime (s)</t>
  </si>
  <si>
    <t xml:space="preserve">State</t>
  </si>
  <si>
    <t xml:space="preserve">Tags</t>
  </si>
  <si>
    <t xml:space="preserve">Notes</t>
  </si>
  <si>
    <t xml:space="preserve">Seed</t>
  </si>
  <si>
    <t xml:space="preserve">dynamic_adult_gender_0</t>
  </si>
  <si>
    <t xml:space="preserve">finished</t>
  </si>
  <si>
    <t xml:space="preserve">dynamic</t>
  </si>
  <si>
    <t xml:space="preserve">-</t>
  </si>
  <si>
    <t xml:space="preserve">dynamic_adult_gender_1</t>
  </si>
  <si>
    <t xml:space="preserve">dynamic_adult_gender_2</t>
  </si>
  <si>
    <t xml:space="preserve">dynamic_adult_gender_3</t>
  </si>
  <si>
    <t xml:space="preserve">dynamic_adult_gender_4</t>
  </si>
  <si>
    <t xml:space="preserve">dynamic_adult_gender_5</t>
  </si>
  <si>
    <t xml:space="preserve">dynamic_adult_gender_6</t>
  </si>
  <si>
    <t xml:space="preserve">dynamic_adult_gender_7</t>
  </si>
  <si>
    <t xml:space="preserve">dynamic_adult_gender_8</t>
  </si>
  <si>
    <t xml:space="preserve">dynamic_adult_gender_9</t>
  </si>
  <si>
    <t xml:space="preserve">dynamic_adult_gender_10</t>
  </si>
  <si>
    <t xml:space="preserve">dynamic_adult_gender_11</t>
  </si>
  <si>
    <t xml:space="preserve">dynamic_adult_gender_12</t>
  </si>
  <si>
    <t xml:space="preserve">dynamic_adult_gender_13</t>
  </si>
  <si>
    <t xml:space="preserve">dynamic_adult_gender_14</t>
  </si>
  <si>
    <t xml:space="preserve">dynamic_adult_gender_15</t>
  </si>
  <si>
    <t xml:space="preserve">dynamic_adult_gender_16</t>
  </si>
  <si>
    <t xml:space="preserve">dynamic_adult_gender_17</t>
  </si>
  <si>
    <t xml:space="preserve">dynamic_adult_gender_18</t>
  </si>
  <si>
    <t xml:space="preserve">dynamic_adult_gender_19</t>
  </si>
  <si>
    <t xml:space="preserve">dynamic_adult_gender_20</t>
  </si>
  <si>
    <t xml:space="preserve">dynamic_adult_gender_21</t>
  </si>
  <si>
    <t xml:space="preserve">dynamic_adult_gender_22</t>
  </si>
  <si>
    <t xml:space="preserve">dynamic_adult_gender_23</t>
  </si>
  <si>
    <t xml:space="preserve">dynamic_adult_gender_24</t>
  </si>
  <si>
    <t xml:space="preserve">dynamic_adult_gender_25</t>
  </si>
  <si>
    <t xml:space="preserve">dynamic_adult_gender_26</t>
  </si>
  <si>
    <t xml:space="preserve">dynamic_adult_gender_27</t>
  </si>
  <si>
    <t xml:space="preserve">dynamic_adult_gender_28</t>
  </si>
  <si>
    <t xml:space="preserve">dynamic_adult_gender_29</t>
  </si>
  <si>
    <t xml:space="preserve">AVERAGE</t>
  </si>
  <si>
    <t xml:space="preserve">Dynamic (Current) — Statistical Summary (30 Runs)</t>
  </si>
  <si>
    <t xml:space="preserve">Min</t>
  </si>
  <si>
    <t xml:space="preserve">Max</t>
  </si>
  <si>
    <t xml:space="preserve">95% CI</t>
  </si>
  <si>
    <t xml:space="preserve">[0.8438, 0.8453]</t>
  </si>
  <si>
    <t xml:space="preserve">[0.0188, 0.0339]</t>
  </si>
  <si>
    <t xml:space="preserve">[0.0422, 0.0515]</t>
  </si>
  <si>
    <t xml:space="preserve">[98.6119, 101.1214]</t>
  </si>
  <si>
    <t xml:space="preserve">Statistical Significance (one-sample t-test vs. 0)</t>
  </si>
  <si>
    <t xml:space="preserve">t-statistic</t>
  </si>
  <si>
    <t xml:space="preserve">p-value</t>
  </si>
  <si>
    <t xml:space="preserve">Significant?</t>
  </si>
  <si>
    <t xml:space="preserve">df</t>
  </si>
  <si>
    <t xml:space="preserve">n</t>
  </si>
  <si>
    <t xml:space="preserve">Yes (p &lt; 0.001)</t>
  </si>
  <si>
    <t xml:space="preserve">⚠  PLACEHOLDER DATA — replace with real experimental results</t>
  </si>
  <si>
    <t xml:space="preserve">placeholder_run_0</t>
  </si>
  <si>
    <t xml:space="preserve">placeholder_run_1</t>
  </si>
  <si>
    <t xml:space="preserve">placeholder_run_2</t>
  </si>
  <si>
    <t xml:space="preserve">placeholder_run_3</t>
  </si>
  <si>
    <t xml:space="preserve">placeholder_run_4</t>
  </si>
  <si>
    <t xml:space="preserve">placeholder_run_5</t>
  </si>
  <si>
    <t xml:space="preserve">placeholder_run_6</t>
  </si>
  <si>
    <t xml:space="preserve">placeholder_run_7</t>
  </si>
  <si>
    <t xml:space="preserve">placeholder_run_8</t>
  </si>
  <si>
    <t xml:space="preserve">placeholder_run_9</t>
  </si>
  <si>
    <t xml:space="preserve">placeholder_run_10</t>
  </si>
  <si>
    <t xml:space="preserve">placeholder_run_11</t>
  </si>
  <si>
    <t xml:space="preserve">placeholder_run_12</t>
  </si>
  <si>
    <t xml:space="preserve">placeholder_run_13</t>
  </si>
  <si>
    <t xml:space="preserve">placeholder_run_14</t>
  </si>
  <si>
    <t xml:space="preserve">placeholder_run_15</t>
  </si>
  <si>
    <t xml:space="preserve">placeholder_run_16</t>
  </si>
  <si>
    <t xml:space="preserve">placeholder_run_17</t>
  </si>
  <si>
    <t xml:space="preserve">placeholder_run_18</t>
  </si>
  <si>
    <t xml:space="preserve">placeholder_run_19</t>
  </si>
  <si>
    <t xml:space="preserve">placeholder_run_20</t>
  </si>
  <si>
    <t xml:space="preserve">placeholder_run_21</t>
  </si>
  <si>
    <t xml:space="preserve">placeholder_run_22</t>
  </si>
  <si>
    <t xml:space="preserve">placeholder_run_23</t>
  </si>
  <si>
    <t xml:space="preserve">placeholder_run_24</t>
  </si>
  <si>
    <t xml:space="preserve">placeholder_run_25</t>
  </si>
  <si>
    <t xml:space="preserve">placeholder_run_26</t>
  </si>
  <si>
    <t xml:space="preserve">placeholder_run_27</t>
  </si>
  <si>
    <t xml:space="preserve">placeholder_run_28</t>
  </si>
  <si>
    <t xml:space="preserve">placeholder_run_29</t>
  </si>
  <si>
    <t xml:space="preserve">Baseline — Statistical Summary (30 Runs) [PLACEHOLDER]</t>
  </si>
  <si>
    <t xml:space="preserve">[0.8296, 0.8317]</t>
  </si>
  <si>
    <t xml:space="preserve">[0.0341, 0.0490]</t>
  </si>
  <si>
    <t xml:space="preserve">[0.0576, 0.0687]</t>
  </si>
  <si>
    <t xml:space="preserve">[91.7137, 94.0863]</t>
  </si>
  <si>
    <t xml:space="preserve">Adversarial Fixed Alpha — Statistical Summary (30 Runs) [PLACEHOLDER]</t>
  </si>
  <si>
    <t xml:space="preserve">[0.8388, 0.8409]</t>
  </si>
  <si>
    <t xml:space="preserve">[0.0251, 0.0409]</t>
  </si>
  <si>
    <t xml:space="preserve">[0.0471, 0.0589]</t>
  </si>
  <si>
    <t xml:space="preserve">[95.8187, 98.4480]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</si>
</sst>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00"/>
    <numFmt numFmtId="166" formatCode="0.00\s"/>
    <numFmt numFmtId="167" formatCode="0"/>
    <numFmt numFmtId="168" formatCode="0.00"/>
    <numFmt numFmtId="169" formatCode="0.0000"/>
    <numFmt numFmtId="170" formatCode="0.00E+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F4C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7F4C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4F8F"/>
        <bgColor rgb="FF1F3864"/>
      </patternFill>
    </fill>
    <fill>
      <patternFill patternType="solid">
        <fgColor rgb="FF833C00"/>
        <bgColor rgb="FF7F4C00"/>
      </patternFill>
    </fill>
    <fill>
      <patternFill patternType="solid">
        <fgColor rgb="FF375623"/>
        <bgColor rgb="FF333300"/>
      </patternFill>
    </fill>
    <fill>
      <patternFill patternType="solid">
        <fgColor rgb="FFF2F5FB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FFFF"/>
        <bgColor rgb="FFF2F5FB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4C00"/>
      <rgbColor rgb="FF800080"/>
      <rgbColor rgb="FF008080"/>
      <rgbColor rgb="FFBFBFBF"/>
      <rgbColor rgb="FF808080"/>
      <rgbColor rgb="FF9999FF"/>
      <rgbColor rgb="FF993366"/>
      <rgbColor rgb="FFFFF2CC"/>
      <rgbColor rgb="FFF2F5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2F4F8F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7.5" hidden="false" customHeight="true" outlineLevel="0" collapsed="false"/>
    <row r="3" customFormat="false" ht="19.5" hidden="false" customHeight="tru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5" t="s">
        <v>4</v>
      </c>
      <c r="K3" s="5"/>
      <c r="L3" s="5"/>
      <c r="M3" s="5"/>
    </row>
    <row r="4" customFormat="false" ht="18" hidden="false" customHeight="true" outlineLevel="0" collapsed="false">
      <c r="A4" s="6"/>
      <c r="B4" s="7" t="s">
        <v>5</v>
      </c>
      <c r="C4" s="7" t="s">
        <v>6</v>
      </c>
      <c r="D4" s="7" t="s">
        <v>7</v>
      </c>
      <c r="E4" s="7" t="s">
        <v>8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5</v>
      </c>
      <c r="K4" s="9" t="s">
        <v>6</v>
      </c>
      <c r="L4" s="9" t="s">
        <v>7</v>
      </c>
      <c r="M4" s="9" t="s">
        <v>8</v>
      </c>
    </row>
    <row r="5" customFormat="false" ht="18" hidden="false" customHeight="true" outlineLevel="0" collapsed="false">
      <c r="A5" s="10" t="s">
        <v>9</v>
      </c>
      <c r="B5" s="11" t="n">
        <v>0.844555</v>
      </c>
      <c r="C5" s="11" t="n">
        <v>0.002094</v>
      </c>
      <c r="D5" s="11" t="n">
        <v>0.843773</v>
      </c>
      <c r="E5" s="11" t="n">
        <v>0.845337</v>
      </c>
      <c r="F5" s="12" t="n">
        <v>0.830637</v>
      </c>
      <c r="G5" s="12" t="n">
        <v>0.002793</v>
      </c>
      <c r="H5" s="12" t="n">
        <v>0.829593</v>
      </c>
      <c r="I5" s="12" t="n">
        <v>0.83168</v>
      </c>
      <c r="J5" s="13" t="n">
        <v>0.839836</v>
      </c>
      <c r="K5" s="13" t="n">
        <v>0.002842</v>
      </c>
      <c r="L5" s="13" t="n">
        <v>0.838775</v>
      </c>
      <c r="M5" s="13" t="n">
        <v>0.840898</v>
      </c>
    </row>
    <row r="6" customFormat="false" ht="18" hidden="false" customHeight="true" outlineLevel="0" collapsed="false">
      <c r="A6" s="14" t="s">
        <v>10</v>
      </c>
      <c r="B6" s="15" t="n">
        <v>0.026358</v>
      </c>
      <c r="C6" s="15" t="n">
        <v>0.020195</v>
      </c>
      <c r="D6" s="15" t="n">
        <v>0.018817</v>
      </c>
      <c r="E6" s="15" t="n">
        <v>0.033899</v>
      </c>
      <c r="F6" s="12" t="n">
        <v>0.041562</v>
      </c>
      <c r="G6" s="12" t="n">
        <v>0.019979</v>
      </c>
      <c r="H6" s="12" t="n">
        <v>0.034101</v>
      </c>
      <c r="I6" s="12" t="n">
        <v>0.049022</v>
      </c>
      <c r="J6" s="13" t="n">
        <v>0.032994</v>
      </c>
      <c r="K6" s="13" t="n">
        <v>0.021154</v>
      </c>
      <c r="L6" s="13" t="n">
        <v>0.025095</v>
      </c>
      <c r="M6" s="13" t="n">
        <v>0.040893</v>
      </c>
    </row>
    <row r="7" customFormat="false" ht="18" hidden="false" customHeight="true" outlineLevel="0" collapsed="false">
      <c r="A7" s="10" t="s">
        <v>11</v>
      </c>
      <c r="B7" s="11" t="n">
        <v>0.046814</v>
      </c>
      <c r="C7" s="11" t="n">
        <v>0.01246</v>
      </c>
      <c r="D7" s="11" t="n">
        <v>0.042162</v>
      </c>
      <c r="E7" s="11" t="n">
        <v>0.051467</v>
      </c>
      <c r="F7" s="12" t="n">
        <v>0.063193</v>
      </c>
      <c r="G7" s="12" t="n">
        <v>0.01488</v>
      </c>
      <c r="H7" s="12" t="n">
        <v>0.057637</v>
      </c>
      <c r="I7" s="12" t="n">
        <v>0.068749</v>
      </c>
      <c r="J7" s="13" t="n">
        <v>0.052984</v>
      </c>
      <c r="K7" s="13" t="n">
        <v>0.015792</v>
      </c>
      <c r="L7" s="13" t="n">
        <v>0.047087</v>
      </c>
      <c r="M7" s="13" t="n">
        <v>0.058881</v>
      </c>
    </row>
    <row r="8" customFormat="false" ht="18" hidden="false" customHeight="true" outlineLevel="0" collapsed="false">
      <c r="A8" s="14" t="s">
        <v>12</v>
      </c>
      <c r="B8" s="16" t="n">
        <v>99.866667</v>
      </c>
      <c r="C8" s="16" t="n">
        <v>3.36035</v>
      </c>
      <c r="D8" s="16" t="n">
        <v>98.611891</v>
      </c>
      <c r="E8" s="16" t="n">
        <v>101.121442</v>
      </c>
      <c r="F8" s="17" t="n">
        <v>92.9</v>
      </c>
      <c r="G8" s="17" t="n">
        <v>3.176965</v>
      </c>
      <c r="H8" s="17" t="n">
        <v>91.713702</v>
      </c>
      <c r="I8" s="17" t="n">
        <v>94.086298</v>
      </c>
      <c r="J8" s="18" t="n">
        <v>97.133333</v>
      </c>
      <c r="K8" s="18" t="n">
        <v>3.52071</v>
      </c>
      <c r="L8" s="18" t="n">
        <v>95.818678</v>
      </c>
      <c r="M8" s="18" t="n">
        <v>98.447988</v>
      </c>
    </row>
    <row r="10" customFormat="false" ht="7.5" hidden="false" customHeight="true" outlineLevel="0" collapsed="false"/>
    <row r="11" customFormat="false" ht="15.75" hidden="false" customHeight="true" outlineLevel="0" collapsed="false">
      <c r="A11" s="19" t="s">
        <v>13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</sheetData>
  <mergeCells count="5">
    <mergeCell ref="A1:M1"/>
    <mergeCell ref="B3:E3"/>
    <mergeCell ref="F3:I3"/>
    <mergeCell ref="J3:M3"/>
    <mergeCell ref="A11:M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8" min="6" style="0" width="12"/>
    <col collapsed="false" customWidth="true" hidden="false" outlineLevel="0" max="9" min="9" style="0" width="8"/>
  </cols>
  <sheetData>
    <row r="1" customFormat="false" ht="19.5" hidden="false" customHeight="true" outlineLevel="0" collapsed="false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9</v>
      </c>
      <c r="G1" s="2" t="s">
        <v>11</v>
      </c>
      <c r="H1" s="2" t="s">
        <v>10</v>
      </c>
      <c r="I1" s="2" t="s">
        <v>19</v>
      </c>
    </row>
    <row r="2" customFormat="false" ht="15.75" hidden="false" customHeight="true" outlineLevel="0" collapsed="false">
      <c r="A2" s="20" t="s">
        <v>20</v>
      </c>
      <c r="B2" s="21" t="n">
        <v>103</v>
      </c>
      <c r="C2" s="22" t="s">
        <v>21</v>
      </c>
      <c r="D2" s="22" t="s">
        <v>22</v>
      </c>
      <c r="E2" s="22" t="s">
        <v>23</v>
      </c>
      <c r="F2" s="11" t="n">
        <v>0.844223327805417</v>
      </c>
      <c r="G2" s="11" t="n">
        <v>0.0594210274842657</v>
      </c>
      <c r="H2" s="11" t="n">
        <v>0.0476667511476162</v>
      </c>
      <c r="I2" s="22" t="n">
        <v>0</v>
      </c>
    </row>
    <row r="3" customFormat="false" ht="15.75" hidden="false" customHeight="true" outlineLevel="0" collapsed="false">
      <c r="A3" s="23" t="s">
        <v>24</v>
      </c>
      <c r="B3" s="24" t="n">
        <v>102</v>
      </c>
      <c r="C3" s="25" t="s">
        <v>21</v>
      </c>
      <c r="D3" s="25" t="s">
        <v>22</v>
      </c>
      <c r="E3" s="25" t="s">
        <v>23</v>
      </c>
      <c r="F3" s="15" t="n">
        <v>0.841680486456606</v>
      </c>
      <c r="G3" s="15" t="n">
        <v>0.0407812013828205</v>
      </c>
      <c r="H3" s="15" t="n">
        <v>0.0121847523383477</v>
      </c>
      <c r="I3" s="25" t="n">
        <v>1</v>
      </c>
    </row>
    <row r="4" customFormat="false" ht="15.75" hidden="false" customHeight="true" outlineLevel="0" collapsed="false">
      <c r="A4" s="20" t="s">
        <v>25</v>
      </c>
      <c r="B4" s="21" t="n">
        <v>108</v>
      </c>
      <c r="C4" s="22" t="s">
        <v>21</v>
      </c>
      <c r="D4" s="22" t="s">
        <v>22</v>
      </c>
      <c r="E4" s="22" t="s">
        <v>23</v>
      </c>
      <c r="F4" s="11" t="n">
        <v>0.843117744610282</v>
      </c>
      <c r="G4" s="11" t="n">
        <v>0.044308235111417</v>
      </c>
      <c r="H4" s="11" t="n">
        <v>0.0219850423729448</v>
      </c>
      <c r="I4" s="22" t="n">
        <v>2</v>
      </c>
    </row>
    <row r="5" customFormat="false" ht="15.75" hidden="false" customHeight="true" outlineLevel="0" collapsed="false">
      <c r="A5" s="23" t="s">
        <v>26</v>
      </c>
      <c r="B5" s="24" t="n">
        <v>100</v>
      </c>
      <c r="C5" s="25" t="s">
        <v>21</v>
      </c>
      <c r="D5" s="25" t="s">
        <v>22</v>
      </c>
      <c r="E5" s="25" t="s">
        <v>23</v>
      </c>
      <c r="F5" s="15" t="n">
        <v>0.844997236042012</v>
      </c>
      <c r="G5" s="15" t="n">
        <v>0.0401771840730233</v>
      </c>
      <c r="H5" s="15" t="n">
        <v>0.0153460394680998</v>
      </c>
      <c r="I5" s="25" t="n">
        <v>3</v>
      </c>
    </row>
    <row r="6" customFormat="false" ht="15.75" hidden="false" customHeight="true" outlineLevel="0" collapsed="false">
      <c r="A6" s="20" t="s">
        <v>27</v>
      </c>
      <c r="B6" s="21" t="n">
        <v>100</v>
      </c>
      <c r="C6" s="22" t="s">
        <v>21</v>
      </c>
      <c r="D6" s="22" t="s">
        <v>22</v>
      </c>
      <c r="E6" s="22" t="s">
        <v>23</v>
      </c>
      <c r="F6" s="11" t="n">
        <v>0.844223327805417</v>
      </c>
      <c r="G6" s="11" t="n">
        <v>0.0637573174241209</v>
      </c>
      <c r="H6" s="11" t="n">
        <v>0.0575960120992716</v>
      </c>
      <c r="I6" s="22" t="n">
        <v>4</v>
      </c>
    </row>
    <row r="7" customFormat="false" ht="15.75" hidden="false" customHeight="true" outlineLevel="0" collapsed="false">
      <c r="A7" s="23" t="s">
        <v>28</v>
      </c>
      <c r="B7" s="24" t="n">
        <v>101</v>
      </c>
      <c r="C7" s="25" t="s">
        <v>21</v>
      </c>
      <c r="D7" s="25" t="s">
        <v>22</v>
      </c>
      <c r="E7" s="25" t="s">
        <v>23</v>
      </c>
      <c r="F7" s="15" t="n">
        <v>0.840464344941957</v>
      </c>
      <c r="G7" s="15" t="n">
        <v>0.0595101755502029</v>
      </c>
      <c r="H7" s="15" t="n">
        <v>0.0446194383166596</v>
      </c>
      <c r="I7" s="25" t="n">
        <v>5</v>
      </c>
    </row>
    <row r="8" customFormat="false" ht="15.75" hidden="false" customHeight="true" outlineLevel="0" collapsed="false">
      <c r="A8" s="20" t="s">
        <v>29</v>
      </c>
      <c r="B8" s="21" t="n">
        <v>108</v>
      </c>
      <c r="C8" s="22" t="s">
        <v>21</v>
      </c>
      <c r="D8" s="22" t="s">
        <v>22</v>
      </c>
      <c r="E8" s="22" t="s">
        <v>23</v>
      </c>
      <c r="F8" s="11" t="n">
        <v>0.845992260917634</v>
      </c>
      <c r="G8" s="11" t="n">
        <v>0.0405317982430254</v>
      </c>
      <c r="H8" s="11" t="n">
        <v>0.0196095780401519</v>
      </c>
      <c r="I8" s="22" t="n">
        <v>6</v>
      </c>
    </row>
    <row r="9" customFormat="false" ht="15.75" hidden="false" customHeight="true" outlineLevel="0" collapsed="false">
      <c r="A9" s="23" t="s">
        <v>30</v>
      </c>
      <c r="B9" s="24" t="n">
        <v>100</v>
      </c>
      <c r="C9" s="25" t="s">
        <v>21</v>
      </c>
      <c r="D9" s="25" t="s">
        <v>22</v>
      </c>
      <c r="E9" s="25" t="s">
        <v>23</v>
      </c>
      <c r="F9" s="15" t="n">
        <v>0.842012161415147</v>
      </c>
      <c r="G9" s="15" t="n">
        <v>0.0387060990962067</v>
      </c>
      <c r="H9" s="15" t="n">
        <v>0.001754604336722</v>
      </c>
      <c r="I9" s="25" t="n">
        <v>7</v>
      </c>
    </row>
    <row r="10" customFormat="false" ht="15.75" hidden="false" customHeight="true" outlineLevel="0" collapsed="false">
      <c r="A10" s="20" t="s">
        <v>31</v>
      </c>
      <c r="B10" s="21" t="n">
        <v>96</v>
      </c>
      <c r="C10" s="22" t="s">
        <v>21</v>
      </c>
      <c r="D10" s="22" t="s">
        <v>22</v>
      </c>
      <c r="E10" s="22" t="s">
        <v>23</v>
      </c>
      <c r="F10" s="11" t="n">
        <v>0.845328911000553</v>
      </c>
      <c r="G10" s="11" t="n">
        <v>0.0590331953255064</v>
      </c>
      <c r="H10" s="11" t="n">
        <v>0.0439325932002333</v>
      </c>
      <c r="I10" s="22" t="n">
        <v>8</v>
      </c>
    </row>
    <row r="11" customFormat="false" ht="15.75" hidden="false" customHeight="true" outlineLevel="0" collapsed="false">
      <c r="A11" s="23" t="s">
        <v>32</v>
      </c>
      <c r="B11" s="24" t="n">
        <v>97</v>
      </c>
      <c r="C11" s="25" t="s">
        <v>21</v>
      </c>
      <c r="D11" s="25" t="s">
        <v>22</v>
      </c>
      <c r="E11" s="25" t="s">
        <v>23</v>
      </c>
      <c r="F11" s="15" t="n">
        <v>0.840906578220011</v>
      </c>
      <c r="G11" s="15" t="n">
        <v>0.0368310927115389</v>
      </c>
      <c r="H11" s="15" t="n">
        <v>0.0055172558588038</v>
      </c>
      <c r="I11" s="25" t="n">
        <v>9</v>
      </c>
    </row>
    <row r="12" customFormat="false" ht="15.75" hidden="false" customHeight="true" outlineLevel="0" collapsed="false">
      <c r="A12" s="20" t="s">
        <v>33</v>
      </c>
      <c r="B12" s="21" t="n">
        <v>96</v>
      </c>
      <c r="C12" s="22" t="s">
        <v>21</v>
      </c>
      <c r="D12" s="22" t="s">
        <v>22</v>
      </c>
      <c r="E12" s="22" t="s">
        <v>23</v>
      </c>
      <c r="F12" s="11" t="n">
        <v>0.845881702598121</v>
      </c>
      <c r="G12" s="11" t="n">
        <v>0.0318660133235366</v>
      </c>
      <c r="H12" s="11" t="n">
        <v>0.0144852335798276</v>
      </c>
      <c r="I12" s="22" t="n">
        <v>10</v>
      </c>
    </row>
    <row r="13" customFormat="false" ht="15.75" hidden="false" customHeight="true" outlineLevel="0" collapsed="false">
      <c r="A13" s="23" t="s">
        <v>34</v>
      </c>
      <c r="B13" s="24" t="n">
        <v>96</v>
      </c>
      <c r="C13" s="25" t="s">
        <v>21</v>
      </c>
      <c r="D13" s="25" t="s">
        <v>22</v>
      </c>
      <c r="E13" s="25" t="s">
        <v>23</v>
      </c>
      <c r="F13" s="15" t="n">
        <v>0.847871752349364</v>
      </c>
      <c r="G13" s="15" t="n">
        <v>0.027594192307109</v>
      </c>
      <c r="H13" s="15" t="n">
        <v>0.0018085921624674</v>
      </c>
      <c r="I13" s="25" t="n">
        <v>11</v>
      </c>
    </row>
    <row r="14" customFormat="false" ht="15.75" hidden="false" customHeight="true" outlineLevel="0" collapsed="false">
      <c r="A14" s="20" t="s">
        <v>35</v>
      </c>
      <c r="B14" s="21" t="n">
        <v>95</v>
      </c>
      <c r="C14" s="22" t="s">
        <v>21</v>
      </c>
      <c r="D14" s="22" t="s">
        <v>22</v>
      </c>
      <c r="E14" s="22" t="s">
        <v>23</v>
      </c>
      <c r="F14" s="11" t="n">
        <v>0.843449419568823</v>
      </c>
      <c r="G14" s="11" t="n">
        <v>0.039566786171277</v>
      </c>
      <c r="H14" s="11" t="n">
        <v>0.0116118815207171</v>
      </c>
      <c r="I14" s="22" t="n">
        <v>12</v>
      </c>
    </row>
    <row r="15" customFormat="false" ht="15.75" hidden="false" customHeight="true" outlineLevel="0" collapsed="false">
      <c r="A15" s="23" t="s">
        <v>36</v>
      </c>
      <c r="B15" s="24" t="n">
        <v>102</v>
      </c>
      <c r="C15" s="25" t="s">
        <v>21</v>
      </c>
      <c r="D15" s="25" t="s">
        <v>22</v>
      </c>
      <c r="E15" s="25" t="s">
        <v>23</v>
      </c>
      <c r="F15" s="15" t="n">
        <v>0.845328911000553</v>
      </c>
      <c r="G15" s="15" t="n">
        <v>0.0517446121871841</v>
      </c>
      <c r="H15" s="15" t="n">
        <v>0.0315708807663872</v>
      </c>
      <c r="I15" s="25" t="n">
        <v>13</v>
      </c>
    </row>
    <row r="16" customFormat="false" ht="15.75" hidden="false" customHeight="true" outlineLevel="0" collapsed="false">
      <c r="A16" s="20" t="s">
        <v>37</v>
      </c>
      <c r="B16" s="21" t="n">
        <v>95</v>
      </c>
      <c r="C16" s="22" t="s">
        <v>21</v>
      </c>
      <c r="D16" s="22" t="s">
        <v>22</v>
      </c>
      <c r="E16" s="22" t="s">
        <v>23</v>
      </c>
      <c r="F16" s="11" t="n">
        <v>0.844997236042012</v>
      </c>
      <c r="G16" s="11" t="n">
        <v>0.0374740145470742</v>
      </c>
      <c r="H16" s="11" t="n">
        <v>0.0092514138061867</v>
      </c>
      <c r="I16" s="22" t="n">
        <v>14</v>
      </c>
    </row>
    <row r="17" customFormat="false" ht="15.75" hidden="false" customHeight="true" outlineLevel="0" collapsed="false">
      <c r="A17" s="23" t="s">
        <v>38</v>
      </c>
      <c r="B17" s="24" t="n">
        <v>96</v>
      </c>
      <c r="C17" s="25" t="s">
        <v>21</v>
      </c>
      <c r="D17" s="25" t="s">
        <v>22</v>
      </c>
      <c r="E17" s="25" t="s">
        <v>23</v>
      </c>
      <c r="F17" s="15" t="n">
        <v>0.844444444444444</v>
      </c>
      <c r="G17" s="15" t="n">
        <v>0.0699737794422194</v>
      </c>
      <c r="H17" s="15" t="n">
        <v>0.0662520601604338</v>
      </c>
      <c r="I17" s="25" t="n">
        <v>15</v>
      </c>
    </row>
    <row r="18" customFormat="false" ht="15.75" hidden="false" customHeight="true" outlineLevel="0" collapsed="false">
      <c r="A18" s="20" t="s">
        <v>39</v>
      </c>
      <c r="B18" s="21" t="n">
        <v>97</v>
      </c>
      <c r="C18" s="22" t="s">
        <v>21</v>
      </c>
      <c r="D18" s="22" t="s">
        <v>22</v>
      </c>
      <c r="E18" s="22" t="s">
        <v>23</v>
      </c>
      <c r="F18" s="11" t="n">
        <v>0.846213377556661</v>
      </c>
      <c r="G18" s="11" t="n">
        <v>0.0328971379677382</v>
      </c>
      <c r="H18" s="11" t="n">
        <v>0.0031417915260109</v>
      </c>
      <c r="I18" s="22" t="n">
        <v>16</v>
      </c>
    </row>
    <row r="19" customFormat="false" ht="15.75" hidden="false" customHeight="true" outlineLevel="0" collapsed="false">
      <c r="A19" s="23" t="s">
        <v>40</v>
      </c>
      <c r="B19" s="24" t="n">
        <v>101</v>
      </c>
      <c r="C19" s="25" t="s">
        <v>21</v>
      </c>
      <c r="D19" s="25" t="s">
        <v>22</v>
      </c>
      <c r="E19" s="25" t="s">
        <v>23</v>
      </c>
      <c r="F19" s="15" t="n">
        <v>0.845881702598121</v>
      </c>
      <c r="G19" s="15" t="n">
        <v>0.0421861748895378</v>
      </c>
      <c r="H19" s="15" t="n">
        <v>0.0254042713368135</v>
      </c>
      <c r="I19" s="25" t="n">
        <v>17</v>
      </c>
    </row>
    <row r="20" customFormat="false" ht="15.75" hidden="false" customHeight="true" outlineLevel="0" collapsed="false">
      <c r="A20" s="20" t="s">
        <v>41</v>
      </c>
      <c r="B20" s="21" t="n">
        <v>98</v>
      </c>
      <c r="C20" s="22" t="s">
        <v>21</v>
      </c>
      <c r="D20" s="22" t="s">
        <v>22</v>
      </c>
      <c r="E20" s="22" t="s">
        <v>23</v>
      </c>
      <c r="F20" s="11" t="n">
        <v>0.845660585959093</v>
      </c>
      <c r="G20" s="11" t="n">
        <v>0.0364396027885811</v>
      </c>
      <c r="H20" s="11" t="n">
        <v>0.0007348342948665</v>
      </c>
      <c r="I20" s="22" t="n">
        <v>18</v>
      </c>
    </row>
    <row r="21" customFormat="false" ht="15.75" hidden="false" customHeight="true" outlineLevel="0" collapsed="false">
      <c r="A21" s="23" t="s">
        <v>42</v>
      </c>
      <c r="B21" s="24" t="n">
        <v>100</v>
      </c>
      <c r="C21" s="25" t="s">
        <v>21</v>
      </c>
      <c r="D21" s="25" t="s">
        <v>22</v>
      </c>
      <c r="E21" s="25" t="s">
        <v>23</v>
      </c>
      <c r="F21" s="15" t="n">
        <v>0.845771144278607</v>
      </c>
      <c r="G21" s="15" t="n">
        <v>0.0659663941494648</v>
      </c>
      <c r="H21" s="15" t="n">
        <v>0.0580968991492418</v>
      </c>
      <c r="I21" s="25" t="n">
        <v>19</v>
      </c>
    </row>
    <row r="22" customFormat="false" ht="15.75" hidden="false" customHeight="true" outlineLevel="0" collapsed="false">
      <c r="A22" s="20" t="s">
        <v>43</v>
      </c>
      <c r="B22" s="21" t="n">
        <v>100</v>
      </c>
      <c r="C22" s="22" t="s">
        <v>21</v>
      </c>
      <c r="D22" s="22" t="s">
        <v>22</v>
      </c>
      <c r="E22" s="22" t="s">
        <v>23</v>
      </c>
      <c r="F22" s="11" t="n">
        <v>0.846323935876175</v>
      </c>
      <c r="G22" s="11" t="n">
        <v>0.048466508386675</v>
      </c>
      <c r="H22" s="11" t="n">
        <v>0.0342462774644317</v>
      </c>
      <c r="I22" s="22" t="n">
        <v>20</v>
      </c>
    </row>
    <row r="23" customFormat="false" ht="15.75" hidden="false" customHeight="true" outlineLevel="0" collapsed="false">
      <c r="A23" s="23" t="s">
        <v>44</v>
      </c>
      <c r="B23" s="24" t="n">
        <v>98</v>
      </c>
      <c r="C23" s="25" t="s">
        <v>21</v>
      </c>
      <c r="D23" s="25" t="s">
        <v>22</v>
      </c>
      <c r="E23" s="25" t="s">
        <v>23</v>
      </c>
      <c r="F23" s="15" t="n">
        <v>0.844333886124931</v>
      </c>
      <c r="G23" s="15" t="n">
        <v>0.0582701023861994</v>
      </c>
      <c r="H23" s="15" t="n">
        <v>0.0416291126351008</v>
      </c>
      <c r="I23" s="25" t="n">
        <v>21</v>
      </c>
    </row>
    <row r="24" customFormat="false" ht="15.75" hidden="false" customHeight="true" outlineLevel="0" collapsed="false">
      <c r="A24" s="20" t="s">
        <v>45</v>
      </c>
      <c r="B24" s="21" t="n">
        <v>104</v>
      </c>
      <c r="C24" s="22" t="s">
        <v>21</v>
      </c>
      <c r="D24" s="22" t="s">
        <v>22</v>
      </c>
      <c r="E24" s="22" t="s">
        <v>23</v>
      </c>
      <c r="F24" s="11" t="n">
        <v>0.845439469320066</v>
      </c>
      <c r="G24" s="11" t="n">
        <v>0.0496858159951568</v>
      </c>
      <c r="H24" s="11" t="n">
        <v>0.0329730645739385</v>
      </c>
      <c r="I24" s="22" t="n">
        <v>22</v>
      </c>
    </row>
    <row r="25" customFormat="false" ht="15.75" hidden="false" customHeight="true" outlineLevel="0" collapsed="false">
      <c r="A25" s="23" t="s">
        <v>46</v>
      </c>
      <c r="B25" s="24" t="n">
        <v>100</v>
      </c>
      <c r="C25" s="25" t="s">
        <v>21</v>
      </c>
      <c r="D25" s="25" t="s">
        <v>22</v>
      </c>
      <c r="E25" s="25" t="s">
        <v>23</v>
      </c>
      <c r="F25" s="15" t="n">
        <v>0.843117744610282</v>
      </c>
      <c r="G25" s="15" t="n">
        <v>0.0313817775603619</v>
      </c>
      <c r="H25" s="15" t="n">
        <v>0.0050418630598799</v>
      </c>
      <c r="I25" s="25" t="n">
        <v>23</v>
      </c>
    </row>
    <row r="26" customFormat="false" ht="15.75" hidden="false" customHeight="true" outlineLevel="0" collapsed="false">
      <c r="A26" s="20" t="s">
        <v>47</v>
      </c>
      <c r="B26" s="21" t="n">
        <v>98</v>
      </c>
      <c r="C26" s="22" t="s">
        <v>21</v>
      </c>
      <c r="D26" s="22" t="s">
        <v>22</v>
      </c>
      <c r="E26" s="22" t="s">
        <v>23</v>
      </c>
      <c r="F26" s="11" t="n">
        <v>0.847761194029851</v>
      </c>
      <c r="G26" s="11" t="n">
        <v>0.0714174515052315</v>
      </c>
      <c r="H26" s="11" t="n">
        <v>0.062088998930741</v>
      </c>
      <c r="I26" s="22" t="n">
        <v>24</v>
      </c>
    </row>
    <row r="27" customFormat="false" ht="15.75" hidden="false" customHeight="true" outlineLevel="0" collapsed="false">
      <c r="A27" s="23" t="s">
        <v>48</v>
      </c>
      <c r="B27" s="24" t="n">
        <v>99</v>
      </c>
      <c r="C27" s="25" t="s">
        <v>21</v>
      </c>
      <c r="D27" s="25" t="s">
        <v>22</v>
      </c>
      <c r="E27" s="25" t="s">
        <v>23</v>
      </c>
      <c r="F27" s="15" t="n">
        <v>0.846545052515202</v>
      </c>
      <c r="G27" s="15" t="n">
        <v>0.0424762629183022</v>
      </c>
      <c r="H27" s="15" t="n">
        <v>0.0194956037413562</v>
      </c>
      <c r="I27" s="25" t="n">
        <v>25</v>
      </c>
    </row>
    <row r="28" customFormat="false" ht="15.75" hidden="false" customHeight="true" outlineLevel="0" collapsed="false">
      <c r="A28" s="20" t="s">
        <v>49</v>
      </c>
      <c r="B28" s="21" t="n">
        <v>103</v>
      </c>
      <c r="C28" s="22" t="s">
        <v>21</v>
      </c>
      <c r="D28" s="22" t="s">
        <v>22</v>
      </c>
      <c r="E28" s="22" t="s">
        <v>23</v>
      </c>
      <c r="F28" s="11" t="n">
        <v>0.848313985627418</v>
      </c>
      <c r="G28" s="11" t="n">
        <v>0.0581903848000669</v>
      </c>
      <c r="H28" s="11" t="n">
        <v>0.0410142512863349</v>
      </c>
      <c r="I28" s="22" t="n">
        <v>26</v>
      </c>
    </row>
    <row r="29" customFormat="false" ht="15.75" hidden="false" customHeight="true" outlineLevel="0" collapsed="false">
      <c r="A29" s="23" t="s">
        <v>50</v>
      </c>
      <c r="B29" s="24" t="n">
        <v>99</v>
      </c>
      <c r="C29" s="25" t="s">
        <v>21</v>
      </c>
      <c r="D29" s="25" t="s">
        <v>22</v>
      </c>
      <c r="E29" s="25" t="s">
        <v>23</v>
      </c>
      <c r="F29" s="15" t="n">
        <v>0.841459369817579</v>
      </c>
      <c r="G29" s="15" t="n">
        <v>0.054925221565659</v>
      </c>
      <c r="H29" s="15" t="n">
        <v>0.0439175965819708</v>
      </c>
      <c r="I29" s="25" t="n">
        <v>27</v>
      </c>
    </row>
    <row r="30" customFormat="false" ht="15.75" hidden="false" customHeight="true" outlineLevel="0" collapsed="false">
      <c r="A30" s="20" t="s">
        <v>51</v>
      </c>
      <c r="B30" s="21" t="n">
        <v>101</v>
      </c>
      <c r="C30" s="22" t="s">
        <v>21</v>
      </c>
      <c r="D30" s="22" t="s">
        <v>22</v>
      </c>
      <c r="E30" s="22" t="s">
        <v>23</v>
      </c>
      <c r="F30" s="11" t="n">
        <v>0.843559977888336</v>
      </c>
      <c r="G30" s="11" t="n">
        <v>0.0329365769090785</v>
      </c>
      <c r="H30" s="11" t="n">
        <v>0.008120668789188</v>
      </c>
      <c r="I30" s="22" t="n">
        <v>28</v>
      </c>
    </row>
    <row r="31" customFormat="false" ht="15.75" hidden="false" customHeight="true" outlineLevel="0" collapsed="false">
      <c r="A31" s="23" t="s">
        <v>52</v>
      </c>
      <c r="B31" s="24" t="n">
        <v>103</v>
      </c>
      <c r="C31" s="25" t="s">
        <v>21</v>
      </c>
      <c r="D31" s="25" t="s">
        <v>22</v>
      </c>
      <c r="E31" s="25" t="s">
        <v>23</v>
      </c>
      <c r="F31" s="15" t="n">
        <v>0.841348811498065</v>
      </c>
      <c r="G31" s="15" t="n">
        <v>0.0379139125935929</v>
      </c>
      <c r="H31" s="15" t="n">
        <v>0.0096518235137976</v>
      </c>
      <c r="I31" s="25" t="n">
        <v>29</v>
      </c>
    </row>
    <row r="32" customFormat="false" ht="18" hidden="false" customHeight="true" outlineLevel="0" collapsed="false">
      <c r="A32" s="26" t="s">
        <v>53</v>
      </c>
      <c r="B32" s="27" t="n">
        <f aca="false">AVERAGE(B2:B31)</f>
        <v>99.8666666666667</v>
      </c>
      <c r="C32" s="28"/>
      <c r="D32" s="28"/>
      <c r="E32" s="28"/>
      <c r="F32" s="29" t="n">
        <f aca="false">AVERAGE(F2:F31)</f>
        <v>0.844555002763958</v>
      </c>
      <c r="G32" s="29" t="n">
        <f aca="false">AVERAGE(G2:G31)</f>
        <v>0.0468143349598725</v>
      </c>
      <c r="H32" s="29" t="n">
        <f aca="false">AVERAGE(H2:H31)</f>
        <v>0.0263583062019514</v>
      </c>
      <c r="I32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6"/>
    <col collapsed="false" customWidth="true" hidden="false" outlineLevel="0" max="6" min="6" style="0" width="24"/>
  </cols>
  <sheetData>
    <row r="1" customFormat="false" ht="25.5" hidden="false" customHeight="true" outlineLevel="0" collapsed="false">
      <c r="A1" s="30" t="s">
        <v>54</v>
      </c>
      <c r="B1" s="30"/>
      <c r="C1" s="30"/>
      <c r="D1" s="30"/>
      <c r="E1" s="30"/>
      <c r="F1" s="30"/>
    </row>
    <row r="2" customFormat="false" ht="7.5" hidden="false" customHeight="true" outlineLevel="0" collapsed="false"/>
    <row r="3" customFormat="false" ht="19.5" hidden="false" customHeight="true" outlineLevel="0" collapsed="false">
      <c r="A3" s="2" t="s">
        <v>1</v>
      </c>
      <c r="B3" s="2" t="s">
        <v>5</v>
      </c>
      <c r="C3" s="2" t="s">
        <v>6</v>
      </c>
      <c r="D3" s="2" t="s">
        <v>55</v>
      </c>
      <c r="E3" s="2" t="s">
        <v>56</v>
      </c>
      <c r="F3" s="2" t="s">
        <v>57</v>
      </c>
    </row>
    <row r="4" customFormat="false" ht="18" hidden="false" customHeight="true" outlineLevel="0" collapsed="false">
      <c r="A4" s="10" t="s">
        <v>9</v>
      </c>
      <c r="B4" s="11" t="n">
        <f aca="false">AVERAGE('Dynamic — Raw Data'!F2:F31)</f>
        <v>0.844555002763958</v>
      </c>
      <c r="C4" s="11" t="n">
        <f aca="false">STDEV('Dynamic — Raw Data'!F2:F31)</f>
        <v>0.00209407678209611</v>
      </c>
      <c r="D4" s="11" t="n">
        <f aca="false">MIN('Dynamic — Raw Data'!F2:F31)</f>
        <v>0.840464344941957</v>
      </c>
      <c r="E4" s="11" t="n">
        <f aca="false">MAX('Dynamic — Raw Data'!F2:F31)</f>
        <v>0.848313985627418</v>
      </c>
      <c r="F4" s="22" t="s">
        <v>58</v>
      </c>
    </row>
    <row r="5" customFormat="false" ht="18" hidden="false" customHeight="true" outlineLevel="0" collapsed="false">
      <c r="A5" s="14" t="s">
        <v>10</v>
      </c>
      <c r="B5" s="15" t="n">
        <f aca="false">AVERAGE('Dynamic — Raw Data'!H2:H31)</f>
        <v>0.0263583062019514</v>
      </c>
      <c r="C5" s="15" t="n">
        <f aca="false">STDEV('Dynamic — Raw Data'!H2:H31)</f>
        <v>0.0201948588613716</v>
      </c>
      <c r="D5" s="15" t="n">
        <f aca="false">MIN('Dynamic — Raw Data'!H2:H31)</f>
        <v>0.0007348342948665</v>
      </c>
      <c r="E5" s="15" t="n">
        <f aca="false">MAX('Dynamic — Raw Data'!H2:H31)</f>
        <v>0.0662520601604338</v>
      </c>
      <c r="F5" s="25" t="s">
        <v>59</v>
      </c>
    </row>
    <row r="6" customFormat="false" ht="18" hidden="false" customHeight="true" outlineLevel="0" collapsed="false">
      <c r="A6" s="10" t="s">
        <v>11</v>
      </c>
      <c r="B6" s="11" t="n">
        <f aca="false">AVERAGE('Dynamic — Raw Data'!G2:G31)</f>
        <v>0.0468143349598725</v>
      </c>
      <c r="C6" s="11" t="n">
        <f aca="false">STDEV('Dynamic — Raw Data'!G2:G31)</f>
        <v>0.0124602146120242</v>
      </c>
      <c r="D6" s="11" t="n">
        <f aca="false">MIN('Dynamic — Raw Data'!G2:G31)</f>
        <v>0.027594192307109</v>
      </c>
      <c r="E6" s="11" t="n">
        <f aca="false">MAX('Dynamic — Raw Data'!G2:G31)</f>
        <v>0.0714174515052315</v>
      </c>
      <c r="F6" s="22" t="s">
        <v>60</v>
      </c>
    </row>
    <row r="7" customFormat="false" ht="18" hidden="false" customHeight="true" outlineLevel="0" collapsed="false">
      <c r="A7" s="14" t="s">
        <v>12</v>
      </c>
      <c r="B7" s="16" t="n">
        <f aca="false">AVERAGE('Dynamic — Raw Data'!B2:B31)</f>
        <v>99.8666666666667</v>
      </c>
      <c r="C7" s="16" t="n">
        <f aca="false">STDEV('Dynamic — Raw Data'!B2:B31)</f>
        <v>3.36035028278132</v>
      </c>
      <c r="D7" s="16" t="n">
        <f aca="false">MIN('Dynamic — Raw Data'!B2:B31)</f>
        <v>95</v>
      </c>
      <c r="E7" s="16" t="n">
        <f aca="false">MAX('Dynamic — Raw Data'!B2:B31)</f>
        <v>108</v>
      </c>
      <c r="F7" s="25" t="s">
        <v>61</v>
      </c>
    </row>
    <row r="9" customFormat="false" ht="19.5" hidden="false" customHeight="true" outlineLevel="0" collapsed="false">
      <c r="A9" s="31" t="s">
        <v>62</v>
      </c>
      <c r="B9" s="31"/>
      <c r="C9" s="31"/>
      <c r="D9" s="31"/>
      <c r="E9" s="31"/>
      <c r="F9" s="31"/>
    </row>
    <row r="10" customFormat="false" ht="19.5" hidden="false" customHeight="true" outlineLevel="0" collapsed="false">
      <c r="A10" s="2" t="s">
        <v>1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</row>
    <row r="11" customFormat="false" ht="18" hidden="false" customHeight="true" outlineLevel="0" collapsed="false">
      <c r="A11" s="10" t="s">
        <v>9</v>
      </c>
      <c r="B11" s="32" t="n">
        <v>2209.0013</v>
      </c>
      <c r="C11" s="33" t="n">
        <v>2.45498964706411E-077</v>
      </c>
      <c r="D11" s="34" t="s">
        <v>68</v>
      </c>
      <c r="E11" s="22" t="n">
        <v>29</v>
      </c>
      <c r="F11" s="22" t="n">
        <v>30</v>
      </c>
    </row>
    <row r="12" customFormat="false" ht="18" hidden="false" customHeight="true" outlineLevel="0" collapsed="false">
      <c r="A12" s="14" t="s">
        <v>10</v>
      </c>
      <c r="B12" s="35" t="n">
        <v>7.1489</v>
      </c>
      <c r="C12" s="36" t="n">
        <v>7.22038379887908E-008</v>
      </c>
      <c r="D12" s="34" t="s">
        <v>68</v>
      </c>
      <c r="E12" s="25" t="n">
        <v>29</v>
      </c>
      <c r="F12" s="25" t="n">
        <v>30</v>
      </c>
    </row>
    <row r="13" customFormat="false" ht="18" hidden="false" customHeight="true" outlineLevel="0" collapsed="false">
      <c r="A13" s="10" t="s">
        <v>11</v>
      </c>
      <c r="B13" s="32" t="n">
        <v>20.5785</v>
      </c>
      <c r="C13" s="33" t="n">
        <v>7.56962170886487E-019</v>
      </c>
      <c r="D13" s="34" t="s">
        <v>68</v>
      </c>
      <c r="E13" s="22" t="n">
        <v>29</v>
      </c>
      <c r="F13" s="22" t="n">
        <v>30</v>
      </c>
    </row>
    <row r="14" customFormat="false" ht="18" hidden="false" customHeight="true" outlineLevel="0" collapsed="false">
      <c r="A14" s="14" t="s">
        <v>12</v>
      </c>
      <c r="B14" s="35" t="n">
        <v>162.7783</v>
      </c>
      <c r="C14" s="36" t="n">
        <v>1.69355901741803E-044</v>
      </c>
      <c r="D14" s="34" t="s">
        <v>68</v>
      </c>
      <c r="E14" s="25" t="n">
        <v>29</v>
      </c>
      <c r="F14" s="25" t="n">
        <v>30</v>
      </c>
    </row>
  </sheetData>
  <mergeCells count="2">
    <mergeCell ref="A1:F1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8" min="6" style="0" width="12"/>
    <col collapsed="false" customWidth="true" hidden="false" outlineLevel="0" max="9" min="9" style="0" width="8"/>
  </cols>
  <sheetData>
    <row r="1" customFormat="false" ht="18" hidden="false" customHeight="true" outlineLevel="0" collapsed="false">
      <c r="A1" s="37" t="s">
        <v>69</v>
      </c>
      <c r="B1" s="37"/>
      <c r="C1" s="37"/>
      <c r="D1" s="37"/>
      <c r="E1" s="37"/>
      <c r="F1" s="37"/>
      <c r="G1" s="37"/>
      <c r="H1" s="37"/>
      <c r="I1" s="37"/>
    </row>
    <row r="2" customFormat="false" ht="19.5" hidden="false" customHeight="tru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9</v>
      </c>
      <c r="G2" s="2" t="s">
        <v>11</v>
      </c>
      <c r="H2" s="2" t="s">
        <v>10</v>
      </c>
      <c r="I2" s="2" t="s">
        <v>19</v>
      </c>
    </row>
    <row r="3" customFormat="false" ht="15.75" hidden="false" customHeight="true" outlineLevel="0" collapsed="false">
      <c r="A3" s="23" t="s">
        <v>70</v>
      </c>
      <c r="B3" s="24" t="n">
        <v>95</v>
      </c>
      <c r="C3" s="25" t="s">
        <v>21</v>
      </c>
      <c r="D3" s="25"/>
      <c r="E3" s="25" t="s">
        <v>23</v>
      </c>
      <c r="F3" s="15" t="n">
        <v>0.829194880163312</v>
      </c>
      <c r="G3" s="15" t="n">
        <v>0.0558123864323207</v>
      </c>
      <c r="H3" s="15" t="n">
        <v>0.0441357060856569</v>
      </c>
      <c r="I3" s="25" t="n">
        <v>0</v>
      </c>
    </row>
    <row r="4" customFormat="false" ht="15.75" hidden="false" customHeight="true" outlineLevel="0" collapsed="false">
      <c r="A4" s="20" t="s">
        <v>71</v>
      </c>
      <c r="B4" s="21" t="n">
        <v>93</v>
      </c>
      <c r="C4" s="22" t="s">
        <v>21</v>
      </c>
      <c r="D4" s="22"/>
      <c r="E4" s="22" t="s">
        <v>23</v>
      </c>
      <c r="F4" s="11" t="n">
        <v>0.836556834553527</v>
      </c>
      <c r="G4" s="11" t="n">
        <v>0.0602151153500427</v>
      </c>
      <c r="H4" s="11" t="n">
        <v>0.0633101897917236</v>
      </c>
      <c r="I4" s="22" t="n">
        <v>1</v>
      </c>
    </row>
    <row r="5" customFormat="false" ht="15.75" hidden="false" customHeight="true" outlineLevel="0" collapsed="false">
      <c r="A5" s="23" t="s">
        <v>72</v>
      </c>
      <c r="B5" s="24" t="n">
        <v>96</v>
      </c>
      <c r="C5" s="25" t="s">
        <v>21</v>
      </c>
      <c r="D5" s="25"/>
      <c r="E5" s="25" t="s">
        <v>23</v>
      </c>
      <c r="F5" s="15" t="n">
        <v>0.830959508325786</v>
      </c>
      <c r="G5" s="15" t="n">
        <v>0.0464049753899096</v>
      </c>
      <c r="H5" s="15" t="n">
        <v>0.0265548319346983</v>
      </c>
      <c r="I5" s="25" t="n">
        <v>2</v>
      </c>
    </row>
    <row r="6" customFormat="false" ht="15.75" hidden="false" customHeight="true" outlineLevel="0" collapsed="false">
      <c r="A6" s="20" t="s">
        <v>73</v>
      </c>
      <c r="B6" s="21" t="n">
        <v>99</v>
      </c>
      <c r="C6" s="22" t="s">
        <v>21</v>
      </c>
      <c r="D6" s="22"/>
      <c r="E6" s="22" t="s">
        <v>23</v>
      </c>
      <c r="F6" s="11" t="n">
        <v>0.827826867213132</v>
      </c>
      <c r="G6" s="11" t="n">
        <v>0.0450569006387899</v>
      </c>
      <c r="H6" s="11" t="n">
        <v>0.0347914327748491</v>
      </c>
      <c r="I6" s="22" t="n">
        <v>3</v>
      </c>
    </row>
    <row r="7" customFormat="false" ht="15.75" hidden="false" customHeight="true" outlineLevel="0" collapsed="false">
      <c r="A7" s="23" t="s">
        <v>74</v>
      </c>
      <c r="B7" s="24" t="n">
        <v>93</v>
      </c>
      <c r="C7" s="25" t="s">
        <v>21</v>
      </c>
      <c r="D7" s="25"/>
      <c r="E7" s="25" t="s">
        <v>23</v>
      </c>
      <c r="F7" s="15" t="n">
        <v>0.83346763473631</v>
      </c>
      <c r="G7" s="15" t="n">
        <v>0.075187887335913</v>
      </c>
      <c r="H7" s="15" t="n">
        <v>0.0333736206310925</v>
      </c>
      <c r="I7" s="25" t="n">
        <v>4</v>
      </c>
    </row>
    <row r="8" customFormat="false" ht="15.75" hidden="false" customHeight="true" outlineLevel="0" collapsed="false">
      <c r="A8" s="20" t="s">
        <v>75</v>
      </c>
      <c r="B8" s="21" t="n">
        <v>93</v>
      </c>
      <c r="C8" s="22" t="s">
        <v>21</v>
      </c>
      <c r="D8" s="22"/>
      <c r="E8" s="22" t="s">
        <v>23</v>
      </c>
      <c r="F8" s="11" t="n">
        <v>0.827337469050087</v>
      </c>
      <c r="G8" s="11" t="n">
        <v>0.0833436004285623</v>
      </c>
      <c r="H8" s="11" t="n">
        <v>0.00980267114109339</v>
      </c>
      <c r="I8" s="22" t="n">
        <v>5</v>
      </c>
    </row>
    <row r="9" customFormat="false" ht="15.75" hidden="false" customHeight="true" outlineLevel="0" collapsed="false">
      <c r="A9" s="23" t="s">
        <v>76</v>
      </c>
      <c r="B9" s="24" t="n">
        <v>99</v>
      </c>
      <c r="C9" s="25" t="s">
        <v>21</v>
      </c>
      <c r="D9" s="25"/>
      <c r="E9" s="25" t="s">
        <v>23</v>
      </c>
      <c r="F9" s="15" t="n">
        <v>0.831626590785014</v>
      </c>
      <c r="G9" s="15" t="n">
        <v>0.061919848176295</v>
      </c>
      <c r="H9" s="15" t="n">
        <v>0.0485146460954207</v>
      </c>
      <c r="I9" s="25" t="n">
        <v>6</v>
      </c>
    </row>
    <row r="10" customFormat="false" ht="15.75" hidden="false" customHeight="true" outlineLevel="0" collapsed="false">
      <c r="A10" s="20" t="s">
        <v>77</v>
      </c>
      <c r="B10" s="21" t="n">
        <v>96</v>
      </c>
      <c r="C10" s="22" t="s">
        <v>21</v>
      </c>
      <c r="D10" s="22"/>
      <c r="E10" s="22" t="s">
        <v>23</v>
      </c>
      <c r="F10" s="11" t="n">
        <v>0.825120989628361</v>
      </c>
      <c r="G10" s="11" t="n">
        <v>0.0780529934683804</v>
      </c>
      <c r="H10" s="11" t="n">
        <v>0.0477432159879576</v>
      </c>
      <c r="I10" s="22" t="n">
        <v>7</v>
      </c>
    </row>
    <row r="11" customFormat="false" ht="15.75" hidden="false" customHeight="true" outlineLevel="0" collapsed="false">
      <c r="A11" s="23" t="s">
        <v>78</v>
      </c>
      <c r="B11" s="24" t="n">
        <v>92</v>
      </c>
      <c r="C11" s="25" t="s">
        <v>21</v>
      </c>
      <c r="D11" s="25"/>
      <c r="E11" s="25" t="s">
        <v>23</v>
      </c>
      <c r="F11" s="15" t="n">
        <v>0.827015441853305</v>
      </c>
      <c r="G11" s="15" t="n">
        <v>0.0684245403757145</v>
      </c>
      <c r="H11" s="15" t="n">
        <v>0.0421124960461341</v>
      </c>
      <c r="I11" s="25" t="n">
        <v>8</v>
      </c>
    </row>
    <row r="12" customFormat="false" ht="15.75" hidden="false" customHeight="true" outlineLevel="0" collapsed="false">
      <c r="A12" s="20" t="s">
        <v>79</v>
      </c>
      <c r="B12" s="21" t="n">
        <v>95</v>
      </c>
      <c r="C12" s="22" t="s">
        <v>21</v>
      </c>
      <c r="D12" s="22"/>
      <c r="E12" s="22" t="s">
        <v>23</v>
      </c>
      <c r="F12" s="11" t="n">
        <v>0.831590583707607</v>
      </c>
      <c r="G12" s="11" t="n">
        <v>0.0533232036809231</v>
      </c>
      <c r="H12" s="11" t="n">
        <v>0.0368390830657468</v>
      </c>
      <c r="I12" s="22" t="n">
        <v>9</v>
      </c>
    </row>
    <row r="13" customFormat="false" ht="15.75" hidden="false" customHeight="true" outlineLevel="0" collapsed="false">
      <c r="A13" s="23" t="s">
        <v>80</v>
      </c>
      <c r="B13" s="24" t="n">
        <v>92</v>
      </c>
      <c r="C13" s="25" t="s">
        <v>21</v>
      </c>
      <c r="D13" s="25"/>
      <c r="E13" s="25" t="s">
        <v>23</v>
      </c>
      <c r="F13" s="15" t="n">
        <v>0.833215399739986</v>
      </c>
      <c r="G13" s="15" t="n">
        <v>0.0684209340826262</v>
      </c>
      <c r="H13" s="15" t="n">
        <v>0.0108618436748909</v>
      </c>
      <c r="I13" s="25" t="n">
        <v>10</v>
      </c>
    </row>
    <row r="14" customFormat="false" ht="15.75" hidden="false" customHeight="true" outlineLevel="0" collapsed="false">
      <c r="A14" s="20" t="s">
        <v>81</v>
      </c>
      <c r="B14" s="21" t="n">
        <v>92</v>
      </c>
      <c r="C14" s="22" t="s">
        <v>21</v>
      </c>
      <c r="D14" s="22"/>
      <c r="E14" s="22" t="s">
        <v>23</v>
      </c>
      <c r="F14" s="11" t="n">
        <v>0.83151410484357</v>
      </c>
      <c r="G14" s="11" t="n">
        <v>0.0860705484969895</v>
      </c>
      <c r="H14" s="11" t="n">
        <v>0.0327458028991621</v>
      </c>
      <c r="I14" s="22" t="n">
        <v>11</v>
      </c>
    </row>
    <row r="15" customFormat="false" ht="15.75" hidden="false" customHeight="true" outlineLevel="0" collapsed="false">
      <c r="A15" s="23" t="s">
        <v>82</v>
      </c>
      <c r="B15" s="24" t="n">
        <v>94</v>
      </c>
      <c r="C15" s="25" t="s">
        <v>21</v>
      </c>
      <c r="D15" s="25"/>
      <c r="E15" s="25" t="s">
        <v>23</v>
      </c>
      <c r="F15" s="15" t="n">
        <v>0.830653055152835</v>
      </c>
      <c r="G15" s="15" t="n">
        <v>0.0624626094133507</v>
      </c>
      <c r="H15" s="15" t="n">
        <v>0.0344602806364111</v>
      </c>
      <c r="I15" s="25" t="n">
        <v>12</v>
      </c>
    </row>
    <row r="16" customFormat="false" ht="15.75" hidden="false" customHeight="true" outlineLevel="0" collapsed="false">
      <c r="A16" s="20" t="s">
        <v>83</v>
      </c>
      <c r="B16" s="21" t="n">
        <v>87</v>
      </c>
      <c r="C16" s="22" t="s">
        <v>21</v>
      </c>
      <c r="D16" s="22"/>
      <c r="E16" s="22" t="s">
        <v>23</v>
      </c>
      <c r="F16" s="11" t="n">
        <v>0.830096688913232</v>
      </c>
      <c r="G16" s="11" t="n">
        <v>0.0864696548372101</v>
      </c>
      <c r="H16" s="11" t="n">
        <v>0.0243499000771244</v>
      </c>
      <c r="I16" s="22" t="n">
        <v>13</v>
      </c>
    </row>
    <row r="17" customFormat="false" ht="15.75" hidden="false" customHeight="true" outlineLevel="0" collapsed="false">
      <c r="A17" s="23" t="s">
        <v>84</v>
      </c>
      <c r="B17" s="24" t="n">
        <v>87</v>
      </c>
      <c r="C17" s="25" t="s">
        <v>21</v>
      </c>
      <c r="D17" s="25"/>
      <c r="E17" s="25" t="s">
        <v>23</v>
      </c>
      <c r="F17" s="15" t="n">
        <v>0.826564434028898</v>
      </c>
      <c r="G17" s="15" t="n">
        <v>0.0237038234386538</v>
      </c>
      <c r="H17" s="15" t="n">
        <v>0.0384517143433478</v>
      </c>
      <c r="I17" s="25" t="n">
        <v>14</v>
      </c>
    </row>
    <row r="18" customFormat="false" ht="15.75" hidden="false" customHeight="true" outlineLevel="0" collapsed="false">
      <c r="A18" s="20" t="s">
        <v>85</v>
      </c>
      <c r="B18" s="21" t="n">
        <v>92</v>
      </c>
      <c r="C18" s="22" t="s">
        <v>21</v>
      </c>
      <c r="D18" s="22"/>
      <c r="E18" s="22" t="s">
        <v>23</v>
      </c>
      <c r="F18" s="11" t="n">
        <v>0.828840467374816</v>
      </c>
      <c r="G18" s="11" t="n">
        <v>0.0753285375656284</v>
      </c>
      <c r="H18" s="11" t="n">
        <v>0.0508891188499199</v>
      </c>
      <c r="I18" s="22" t="n">
        <v>15</v>
      </c>
    </row>
    <row r="19" customFormat="false" ht="15.75" hidden="false" customHeight="true" outlineLevel="0" collapsed="false">
      <c r="A19" s="23" t="s">
        <v>86</v>
      </c>
      <c r="B19" s="24" t="n">
        <v>90</v>
      </c>
      <c r="C19" s="25" t="s">
        <v>21</v>
      </c>
      <c r="D19" s="25"/>
      <c r="E19" s="25" t="s">
        <v>23</v>
      </c>
      <c r="F19" s="15" t="n">
        <v>0.829618083687121</v>
      </c>
      <c r="G19" s="15" t="n">
        <v>0.0643057060235726</v>
      </c>
      <c r="H19" s="15" t="n">
        <v>0.0834960898266317</v>
      </c>
      <c r="I19" s="25" t="n">
        <v>16</v>
      </c>
    </row>
    <row r="20" customFormat="false" ht="15.75" hidden="false" customHeight="true" outlineLevel="0" collapsed="false">
      <c r="A20" s="20" t="s">
        <v>87</v>
      </c>
      <c r="B20" s="21" t="n">
        <v>95</v>
      </c>
      <c r="C20" s="22" t="s">
        <v>21</v>
      </c>
      <c r="D20" s="22"/>
      <c r="E20" s="22" t="s">
        <v>23</v>
      </c>
      <c r="F20" s="11" t="n">
        <v>0.834171366678657</v>
      </c>
      <c r="G20" s="11" t="n">
        <v>0.058514889743012</v>
      </c>
      <c r="H20" s="11" t="n">
        <v>0.0458407118823005</v>
      </c>
      <c r="I20" s="22" t="n">
        <v>17</v>
      </c>
    </row>
    <row r="21" customFormat="false" ht="15.75" hidden="false" customHeight="true" outlineLevel="0" collapsed="false">
      <c r="A21" s="23" t="s">
        <v>88</v>
      </c>
      <c r="B21" s="24" t="n">
        <v>90</v>
      </c>
      <c r="C21" s="25" t="s">
        <v>21</v>
      </c>
      <c r="D21" s="25"/>
      <c r="E21" s="25" t="s">
        <v>23</v>
      </c>
      <c r="F21" s="15" t="n">
        <v>0.832030854868705</v>
      </c>
      <c r="G21" s="15" t="n">
        <v>0.0643764116480325</v>
      </c>
      <c r="H21" s="15" t="n">
        <v>0.0476661085959008</v>
      </c>
      <c r="I21" s="25" t="n">
        <v>18</v>
      </c>
    </row>
    <row r="22" customFormat="false" ht="15.75" hidden="false" customHeight="true" outlineLevel="0" collapsed="false">
      <c r="A22" s="20" t="s">
        <v>89</v>
      </c>
      <c r="B22" s="21" t="n">
        <v>89</v>
      </c>
      <c r="C22" s="22" t="s">
        <v>21</v>
      </c>
      <c r="D22" s="22"/>
      <c r="E22" s="22" t="s">
        <v>23</v>
      </c>
      <c r="F22" s="11" t="n">
        <v>0.825710879533912</v>
      </c>
      <c r="G22" s="11" t="n">
        <v>0.0331864662809866</v>
      </c>
      <c r="H22" s="11" t="n">
        <v>0.0403621898531443</v>
      </c>
      <c r="I22" s="22" t="n">
        <v>19</v>
      </c>
    </row>
    <row r="23" customFormat="false" ht="15.75" hidden="false" customHeight="true" outlineLevel="0" collapsed="false">
      <c r="A23" s="23" t="s">
        <v>90</v>
      </c>
      <c r="B23" s="24" t="n">
        <v>99</v>
      </c>
      <c r="C23" s="25" t="s">
        <v>21</v>
      </c>
      <c r="D23" s="25"/>
      <c r="E23" s="25" t="s">
        <v>23</v>
      </c>
      <c r="F23" s="15" t="n">
        <v>0.831972251908184</v>
      </c>
      <c r="G23" s="15" t="n">
        <v>0.0597049216824373</v>
      </c>
      <c r="H23" s="15" t="n">
        <v>0</v>
      </c>
      <c r="I23" s="25" t="n">
        <v>20</v>
      </c>
    </row>
    <row r="24" customFormat="false" ht="15.75" hidden="false" customHeight="true" outlineLevel="0" collapsed="false">
      <c r="A24" s="20" t="s">
        <v>91</v>
      </c>
      <c r="B24" s="21" t="n">
        <v>93</v>
      </c>
      <c r="C24" s="22" t="s">
        <v>21</v>
      </c>
      <c r="D24" s="22"/>
      <c r="E24" s="22" t="s">
        <v>23</v>
      </c>
      <c r="F24" s="11" t="n">
        <v>0.829844753158751</v>
      </c>
      <c r="G24" s="11" t="n">
        <v>0.0683566885726762</v>
      </c>
      <c r="H24" s="11" t="n">
        <v>0.0414166947401172</v>
      </c>
      <c r="I24" s="22" t="n">
        <v>21</v>
      </c>
    </row>
    <row r="25" customFormat="false" ht="15.75" hidden="false" customHeight="true" outlineLevel="0" collapsed="false">
      <c r="A25" s="23" t="s">
        <v>92</v>
      </c>
      <c r="B25" s="24" t="n">
        <v>94</v>
      </c>
      <c r="C25" s="25" t="s">
        <v>21</v>
      </c>
      <c r="D25" s="25"/>
      <c r="E25" s="25" t="s">
        <v>23</v>
      </c>
      <c r="F25" s="15" t="n">
        <v>0.828969233999082</v>
      </c>
      <c r="G25" s="15" t="n">
        <v>0.0851684106711227</v>
      </c>
      <c r="H25" s="15" t="n">
        <v>0.0433250646187026</v>
      </c>
      <c r="I25" s="25" t="n">
        <v>22</v>
      </c>
    </row>
    <row r="26" customFormat="false" ht="15.75" hidden="false" customHeight="true" outlineLevel="0" collapsed="false">
      <c r="A26" s="20" t="s">
        <v>93</v>
      </c>
      <c r="B26" s="21" t="n">
        <v>89</v>
      </c>
      <c r="C26" s="22" t="s">
        <v>21</v>
      </c>
      <c r="D26" s="22"/>
      <c r="E26" s="22" t="s">
        <v>23</v>
      </c>
      <c r="F26" s="11" t="n">
        <v>0.832835028866523</v>
      </c>
      <c r="G26" s="11" t="n">
        <v>0.0552259467258953</v>
      </c>
      <c r="H26" s="11" t="n">
        <v>0.0961913264746763</v>
      </c>
      <c r="I26" s="22" t="n">
        <v>23</v>
      </c>
    </row>
    <row r="27" customFormat="false" ht="15.75" hidden="false" customHeight="true" outlineLevel="0" collapsed="false">
      <c r="A27" s="23" t="s">
        <v>94</v>
      </c>
      <c r="B27" s="24" t="n">
        <v>92</v>
      </c>
      <c r="C27" s="25" t="s">
        <v>21</v>
      </c>
      <c r="D27" s="25"/>
      <c r="E27" s="25" t="s">
        <v>23</v>
      </c>
      <c r="F27" s="15" t="n">
        <v>0.834092998567488</v>
      </c>
      <c r="G27" s="15" t="n">
        <v>0.0508725959566022</v>
      </c>
      <c r="H27" s="15" t="n">
        <v>0.0377680587748153</v>
      </c>
      <c r="I27" s="25" t="n">
        <v>24</v>
      </c>
    </row>
    <row r="28" customFormat="false" ht="15.75" hidden="false" customHeight="true" outlineLevel="0" collapsed="false">
      <c r="A28" s="20" t="s">
        <v>95</v>
      </c>
      <c r="B28" s="21" t="n">
        <v>94</v>
      </c>
      <c r="C28" s="22" t="s">
        <v>21</v>
      </c>
      <c r="D28" s="22"/>
      <c r="E28" s="22" t="s">
        <v>23</v>
      </c>
      <c r="F28" s="11" t="n">
        <v>0.833793840357349</v>
      </c>
      <c r="G28" s="11" t="n">
        <v>0.055473644346232</v>
      </c>
      <c r="H28" s="11" t="n">
        <v>0.0486340415313395</v>
      </c>
      <c r="I28" s="22" t="n">
        <v>25</v>
      </c>
    </row>
    <row r="29" customFormat="false" ht="15.75" hidden="false" customHeight="true" outlineLevel="0" collapsed="false">
      <c r="A29" s="23" t="s">
        <v>96</v>
      </c>
      <c r="B29" s="24" t="n">
        <v>89</v>
      </c>
      <c r="C29" s="25" t="s">
        <v>21</v>
      </c>
      <c r="D29" s="25"/>
      <c r="E29" s="25" t="s">
        <v>23</v>
      </c>
      <c r="F29" s="15" t="n">
        <v>0.828482347430332</v>
      </c>
      <c r="G29" s="15" t="n">
        <v>0.0767310317655311</v>
      </c>
      <c r="H29" s="15" t="n">
        <v>0.0412363410664847</v>
      </c>
      <c r="I29" s="25" t="n">
        <v>26</v>
      </c>
    </row>
    <row r="30" customFormat="false" ht="15.75" hidden="false" customHeight="true" outlineLevel="0" collapsed="false">
      <c r="A30" s="20" t="s">
        <v>97</v>
      </c>
      <c r="B30" s="21" t="n">
        <v>95</v>
      </c>
      <c r="C30" s="22" t="s">
        <v>21</v>
      </c>
      <c r="D30" s="22"/>
      <c r="E30" s="22" t="s">
        <v>23</v>
      </c>
      <c r="F30" s="11" t="n">
        <v>0.830072362872446</v>
      </c>
      <c r="G30" s="11" t="n">
        <v>0.0679312666448953</v>
      </c>
      <c r="H30" s="11" t="n">
        <v>0.0162890831723703</v>
      </c>
      <c r="I30" s="22" t="n">
        <v>27</v>
      </c>
    </row>
    <row r="31" customFormat="false" ht="15.75" hidden="false" customHeight="true" outlineLevel="0" collapsed="false">
      <c r="A31" s="23" t="s">
        <v>98</v>
      </c>
      <c r="B31" s="24" t="n">
        <v>91</v>
      </c>
      <c r="C31" s="25" t="s">
        <v>21</v>
      </c>
      <c r="D31" s="25"/>
      <c r="E31" s="25" t="s">
        <v>23</v>
      </c>
      <c r="F31" s="15" t="n">
        <v>0.831993790294211</v>
      </c>
      <c r="G31" s="15" t="n">
        <v>0.0550535969434944</v>
      </c>
      <c r="H31" s="15" t="n">
        <v>0.0671421019193305</v>
      </c>
      <c r="I31" s="25" t="n">
        <v>28</v>
      </c>
    </row>
    <row r="32" customFormat="false" ht="15.75" hidden="false" customHeight="true" outlineLevel="0" collapsed="false">
      <c r="A32" s="20" t="s">
        <v>99</v>
      </c>
      <c r="B32" s="21" t="n">
        <v>92</v>
      </c>
      <c r="C32" s="22" t="s">
        <v>21</v>
      </c>
      <c r="D32" s="22"/>
      <c r="E32" s="22" t="s">
        <v>23</v>
      </c>
      <c r="F32" s="11" t="n">
        <v>0.833926635381367</v>
      </c>
      <c r="G32" s="11" t="n">
        <v>0.0706990114967003</v>
      </c>
      <c r="H32" s="11" t="n">
        <v>0.058542526719109</v>
      </c>
      <c r="I32" s="22" t="n">
        <v>29</v>
      </c>
    </row>
    <row r="33" customFormat="false" ht="18" hidden="false" customHeight="true" outlineLevel="0" collapsed="false">
      <c r="A33" s="26" t="s">
        <v>53</v>
      </c>
      <c r="B33" s="27" t="n">
        <f aca="false">AVERAGE(B3:B32)</f>
        <v>92.9</v>
      </c>
      <c r="C33" s="28"/>
      <c r="D33" s="28"/>
      <c r="E33" s="28"/>
      <c r="F33" s="29" t="n">
        <f aca="false">AVERAGE(F3:F32)</f>
        <v>0.83063651258913</v>
      </c>
      <c r="G33" s="29" t="n">
        <f aca="false">AVERAGE(G3:G32)</f>
        <v>0.0631932715870834</v>
      </c>
      <c r="H33" s="29" t="n">
        <f aca="false">AVERAGE(H3:H32)</f>
        <v>0.0415615631070051</v>
      </c>
      <c r="I33" s="28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6"/>
    <col collapsed="false" customWidth="true" hidden="false" outlineLevel="0" max="6" min="6" style="0" width="24"/>
  </cols>
  <sheetData>
    <row r="1" customFormat="false" ht="25.5" hidden="false" customHeight="true" outlineLevel="0" collapsed="false">
      <c r="A1" s="30" t="s">
        <v>100</v>
      </c>
      <c r="B1" s="30"/>
      <c r="C1" s="30"/>
      <c r="D1" s="30"/>
      <c r="E1" s="30"/>
      <c r="F1" s="30"/>
    </row>
    <row r="2" customFormat="false" ht="7.5" hidden="false" customHeight="true" outlineLevel="0" collapsed="false"/>
    <row r="3" customFormat="false" ht="18" hidden="false" customHeight="true" outlineLevel="0" collapsed="false">
      <c r="A3" s="37" t="s">
        <v>69</v>
      </c>
      <c r="B3" s="37"/>
      <c r="C3" s="37"/>
      <c r="D3" s="37"/>
      <c r="E3" s="37"/>
      <c r="F3" s="37"/>
    </row>
    <row r="4" customFormat="false" ht="19.5" hidden="false" customHeight="true" outlineLevel="0" collapsed="false">
      <c r="A4" s="2" t="s">
        <v>1</v>
      </c>
      <c r="B4" s="2" t="s">
        <v>5</v>
      </c>
      <c r="C4" s="2" t="s">
        <v>6</v>
      </c>
      <c r="D4" s="2" t="s">
        <v>55</v>
      </c>
      <c r="E4" s="2" t="s">
        <v>56</v>
      </c>
      <c r="F4" s="2" t="s">
        <v>57</v>
      </c>
    </row>
    <row r="5" customFormat="false" ht="18" hidden="false" customHeight="true" outlineLevel="0" collapsed="false">
      <c r="A5" s="10" t="s">
        <v>9</v>
      </c>
      <c r="B5" s="11" t="n">
        <f aca="false">AVERAGE('Baseline — Raw Data'!F3:F32)</f>
        <v>0.83063651258913</v>
      </c>
      <c r="C5" s="11" t="n">
        <f aca="false">STDEV('Baseline — Raw Data'!F3:F32)</f>
        <v>0.00279330659348339</v>
      </c>
      <c r="D5" s="11" t="n">
        <f aca="false">MIN('Baseline — Raw Data'!F3:F32)</f>
        <v>0.825120989628361</v>
      </c>
      <c r="E5" s="11" t="n">
        <f aca="false">MAX('Baseline — Raw Data'!F3:F32)</f>
        <v>0.836556834553527</v>
      </c>
      <c r="F5" s="22" t="s">
        <v>101</v>
      </c>
    </row>
    <row r="6" customFormat="false" ht="18" hidden="false" customHeight="true" outlineLevel="0" collapsed="false">
      <c r="A6" s="14" t="s">
        <v>10</v>
      </c>
      <c r="B6" s="15" t="n">
        <f aca="false">AVERAGE('Baseline — Raw Data'!H3:H32)</f>
        <v>0.0415615631070051</v>
      </c>
      <c r="C6" s="15" t="n">
        <f aca="false">STDEV('Baseline — Raw Data'!H3:H32)</f>
        <v>0.0199787732517393</v>
      </c>
      <c r="D6" s="15" t="n">
        <f aca="false">MIN('Baseline — Raw Data'!H3:H32)</f>
        <v>0</v>
      </c>
      <c r="E6" s="15" t="n">
        <f aca="false">MAX('Baseline — Raw Data'!H3:H32)</f>
        <v>0.0961913264746763</v>
      </c>
      <c r="F6" s="25" t="s">
        <v>102</v>
      </c>
    </row>
    <row r="7" customFormat="false" ht="18" hidden="false" customHeight="true" outlineLevel="0" collapsed="false">
      <c r="A7" s="10" t="s">
        <v>11</v>
      </c>
      <c r="B7" s="11" t="n">
        <f aca="false">AVERAGE('Baseline — Raw Data'!G3:G32)</f>
        <v>0.0631932715870834</v>
      </c>
      <c r="C7" s="11" t="n">
        <f aca="false">STDEV('Baseline — Raw Data'!G3:G32)</f>
        <v>0.0148797456177595</v>
      </c>
      <c r="D7" s="11" t="n">
        <f aca="false">MIN('Baseline — Raw Data'!G3:G32)</f>
        <v>0.0237038234386538</v>
      </c>
      <c r="E7" s="11" t="n">
        <f aca="false">MAX('Baseline — Raw Data'!G3:G32)</f>
        <v>0.0864696548372101</v>
      </c>
      <c r="F7" s="22" t="s">
        <v>103</v>
      </c>
    </row>
    <row r="8" customFormat="false" ht="18" hidden="false" customHeight="true" outlineLevel="0" collapsed="false">
      <c r="A8" s="14" t="s">
        <v>12</v>
      </c>
      <c r="B8" s="16" t="n">
        <f aca="false">AVERAGE('Baseline — Raw Data'!B3:B32)</f>
        <v>92.9</v>
      </c>
      <c r="C8" s="16" t="n">
        <f aca="false">STDEV('Baseline — Raw Data'!B3:B32)</f>
        <v>3.17696450220582</v>
      </c>
      <c r="D8" s="16" t="n">
        <f aca="false">MIN('Baseline — Raw Data'!B3:B32)</f>
        <v>87</v>
      </c>
      <c r="E8" s="16" t="n">
        <f aca="false">MAX('Baseline — Raw Data'!B3:B32)</f>
        <v>99</v>
      </c>
      <c r="F8" s="25" t="s">
        <v>104</v>
      </c>
    </row>
    <row r="10" customFormat="false" ht="19.5" hidden="false" customHeight="true" outlineLevel="0" collapsed="false">
      <c r="A10" s="31" t="s">
        <v>62</v>
      </c>
      <c r="B10" s="31"/>
      <c r="C10" s="31"/>
      <c r="D10" s="31"/>
      <c r="E10" s="31"/>
      <c r="F10" s="31"/>
    </row>
    <row r="11" customFormat="false" ht="19.5" hidden="false" customHeight="true" outlineLevel="0" collapsed="false">
      <c r="A11" s="2" t="s">
        <v>1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</row>
    <row r="12" customFormat="false" ht="18" hidden="false" customHeight="true" outlineLevel="0" collapsed="false">
      <c r="A12" s="10" t="s">
        <v>9</v>
      </c>
      <c r="B12" s="32" t="n">
        <v>1628.7448</v>
      </c>
      <c r="C12" s="33" t="n">
        <v>1.69030127602858E-073</v>
      </c>
      <c r="D12" s="34" t="s">
        <v>68</v>
      </c>
      <c r="E12" s="22" t="n">
        <v>29</v>
      </c>
      <c r="F12" s="22" t="n">
        <v>30</v>
      </c>
    </row>
    <row r="13" customFormat="false" ht="18" hidden="false" customHeight="true" outlineLevel="0" collapsed="false">
      <c r="A13" s="14" t="s">
        <v>10</v>
      </c>
      <c r="B13" s="35" t="n">
        <v>11.3942</v>
      </c>
      <c r="C13" s="36" t="n">
        <v>3.15528849434509E-012</v>
      </c>
      <c r="D13" s="34" t="s">
        <v>68</v>
      </c>
      <c r="E13" s="25" t="n">
        <v>29</v>
      </c>
      <c r="F13" s="25" t="n">
        <v>30</v>
      </c>
    </row>
    <row r="14" customFormat="false" ht="18" hidden="false" customHeight="true" outlineLevel="0" collapsed="false">
      <c r="A14" s="10" t="s">
        <v>11</v>
      </c>
      <c r="B14" s="32" t="n">
        <v>23.2614</v>
      </c>
      <c r="C14" s="33" t="n">
        <v>2.63721201990392E-020</v>
      </c>
      <c r="D14" s="34" t="s">
        <v>68</v>
      </c>
      <c r="E14" s="22" t="n">
        <v>29</v>
      </c>
      <c r="F14" s="22" t="n">
        <v>30</v>
      </c>
    </row>
    <row r="15" customFormat="false" ht="18" hidden="false" customHeight="true" outlineLevel="0" collapsed="false">
      <c r="A15" s="14" t="s">
        <v>12</v>
      </c>
      <c r="B15" s="35" t="n">
        <v>160.1637</v>
      </c>
      <c r="C15" s="36" t="n">
        <v>2.70724734877876E-044</v>
      </c>
      <c r="D15" s="34" t="s">
        <v>68</v>
      </c>
      <c r="E15" s="25" t="n">
        <v>29</v>
      </c>
      <c r="F15" s="25" t="n">
        <v>30</v>
      </c>
    </row>
  </sheetData>
  <mergeCells count="3">
    <mergeCell ref="A1:F1"/>
    <mergeCell ref="A3:F3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8" min="6" style="0" width="12"/>
    <col collapsed="false" customWidth="true" hidden="false" outlineLevel="0" max="9" min="9" style="0" width="8"/>
  </cols>
  <sheetData>
    <row r="1" customFormat="false" ht="18" hidden="false" customHeight="true" outlineLevel="0" collapsed="false">
      <c r="A1" s="37" t="s">
        <v>69</v>
      </c>
      <c r="B1" s="37"/>
      <c r="C1" s="37"/>
      <c r="D1" s="37"/>
      <c r="E1" s="37"/>
      <c r="F1" s="37"/>
      <c r="G1" s="37"/>
      <c r="H1" s="37"/>
      <c r="I1" s="37"/>
    </row>
    <row r="2" customFormat="false" ht="19.5" hidden="false" customHeight="tru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9</v>
      </c>
      <c r="G2" s="2" t="s">
        <v>11</v>
      </c>
      <c r="H2" s="2" t="s">
        <v>10</v>
      </c>
      <c r="I2" s="2" t="s">
        <v>19</v>
      </c>
    </row>
    <row r="3" customFormat="false" ht="15.75" hidden="false" customHeight="true" outlineLevel="0" collapsed="false">
      <c r="A3" s="23" t="s">
        <v>70</v>
      </c>
      <c r="B3" s="24" t="n">
        <v>100</v>
      </c>
      <c r="C3" s="25" t="s">
        <v>21</v>
      </c>
      <c r="D3" s="25"/>
      <c r="E3" s="25" t="s">
        <v>23</v>
      </c>
      <c r="F3" s="15" t="n">
        <v>0.839751478551038</v>
      </c>
      <c r="G3" s="15" t="n">
        <v>0.0613850102164751</v>
      </c>
      <c r="H3" s="15" t="n">
        <v>0.0435595912352497</v>
      </c>
      <c r="I3" s="25" t="n">
        <v>0</v>
      </c>
    </row>
    <row r="4" customFormat="false" ht="15.75" hidden="false" customHeight="true" outlineLevel="0" collapsed="false">
      <c r="A4" s="20" t="s">
        <v>71</v>
      </c>
      <c r="B4" s="21" t="n">
        <v>94</v>
      </c>
      <c r="C4" s="22" t="s">
        <v>21</v>
      </c>
      <c r="D4" s="22"/>
      <c r="E4" s="22" t="s">
        <v>23</v>
      </c>
      <c r="F4" s="11" t="n">
        <v>0.840039344628491</v>
      </c>
      <c r="G4" s="11" t="n">
        <v>0.0391426366537558</v>
      </c>
      <c r="H4" s="11" t="n">
        <v>0.0559824440839732</v>
      </c>
      <c r="I4" s="22" t="n">
        <v>1</v>
      </c>
    </row>
    <row r="5" customFormat="false" ht="15.75" hidden="false" customHeight="true" outlineLevel="0" collapsed="false">
      <c r="A5" s="23" t="s">
        <v>72</v>
      </c>
      <c r="B5" s="24" t="n">
        <v>102</v>
      </c>
      <c r="C5" s="25" t="s">
        <v>21</v>
      </c>
      <c r="D5" s="25"/>
      <c r="E5" s="25" t="s">
        <v>23</v>
      </c>
      <c r="F5" s="15" t="n">
        <v>0.836959925835265</v>
      </c>
      <c r="G5" s="15" t="n">
        <v>0.0359366125290833</v>
      </c>
      <c r="H5" s="15" t="n">
        <v>0.0519880387968505</v>
      </c>
      <c r="I5" s="25" t="n">
        <v>2</v>
      </c>
    </row>
    <row r="6" customFormat="false" ht="15.75" hidden="false" customHeight="true" outlineLevel="0" collapsed="false">
      <c r="A6" s="20" t="s">
        <v>73</v>
      </c>
      <c r="B6" s="21" t="n">
        <v>93</v>
      </c>
      <c r="C6" s="22" t="s">
        <v>21</v>
      </c>
      <c r="D6" s="22"/>
      <c r="E6" s="22" t="s">
        <v>23</v>
      </c>
      <c r="F6" s="11" t="n">
        <v>0.839696761091483</v>
      </c>
      <c r="G6" s="11" t="n">
        <v>0.0592370862286478</v>
      </c>
      <c r="H6" s="11" t="n">
        <v>0.0453306075287276</v>
      </c>
      <c r="I6" s="22" t="n">
        <v>3</v>
      </c>
    </row>
    <row r="7" customFormat="false" ht="15.75" hidden="false" customHeight="true" outlineLevel="0" collapsed="false">
      <c r="A7" s="23" t="s">
        <v>74</v>
      </c>
      <c r="B7" s="24" t="n">
        <v>100</v>
      </c>
      <c r="C7" s="25" t="s">
        <v>21</v>
      </c>
      <c r="D7" s="25"/>
      <c r="E7" s="25" t="s">
        <v>23</v>
      </c>
      <c r="F7" s="15" t="n">
        <v>0.839879217419896</v>
      </c>
      <c r="G7" s="15" t="n">
        <v>0.0486480582201122</v>
      </c>
      <c r="H7" s="15" t="n">
        <v>0.0240640766179124</v>
      </c>
      <c r="I7" s="25" t="n">
        <v>4</v>
      </c>
    </row>
    <row r="8" customFormat="false" ht="15.75" hidden="false" customHeight="true" outlineLevel="0" collapsed="false">
      <c r="A8" s="20" t="s">
        <v>75</v>
      </c>
      <c r="B8" s="21" t="n">
        <v>105</v>
      </c>
      <c r="C8" s="22" t="s">
        <v>21</v>
      </c>
      <c r="D8" s="22"/>
      <c r="E8" s="22" t="s">
        <v>23</v>
      </c>
      <c r="F8" s="11" t="n">
        <v>0.836856945745921</v>
      </c>
      <c r="G8" s="11" t="n">
        <v>0.0627100074113814</v>
      </c>
      <c r="H8" s="11" t="n">
        <v>0.0476973228508519</v>
      </c>
      <c r="I8" s="22" t="n">
        <v>5</v>
      </c>
    </row>
    <row r="9" customFormat="false" ht="15.75" hidden="false" customHeight="true" outlineLevel="0" collapsed="false">
      <c r="A9" s="23" t="s">
        <v>76</v>
      </c>
      <c r="B9" s="24" t="n">
        <v>94</v>
      </c>
      <c r="C9" s="25" t="s">
        <v>21</v>
      </c>
      <c r="D9" s="25"/>
      <c r="E9" s="25" t="s">
        <v>23</v>
      </c>
      <c r="F9" s="15" t="n">
        <v>0.844597323533434</v>
      </c>
      <c r="G9" s="15" t="n">
        <v>0.0590985643686032</v>
      </c>
      <c r="H9" s="15" t="n">
        <v>0.0139978452801734</v>
      </c>
      <c r="I9" s="25" t="n">
        <v>6</v>
      </c>
    </row>
    <row r="10" customFormat="false" ht="15.75" hidden="false" customHeight="true" outlineLevel="0" collapsed="false">
      <c r="A10" s="20" t="s">
        <v>77</v>
      </c>
      <c r="B10" s="21" t="n">
        <v>96</v>
      </c>
      <c r="C10" s="22" t="s">
        <v>21</v>
      </c>
      <c r="D10" s="22"/>
      <c r="E10" s="22" t="s">
        <v>23</v>
      </c>
      <c r="F10" s="11" t="n">
        <v>0.840421498762735</v>
      </c>
      <c r="G10" s="11" t="n">
        <v>0.0509075663101469</v>
      </c>
      <c r="H10" s="11" t="n">
        <v>0.0257899906517198</v>
      </c>
      <c r="I10" s="22" t="n">
        <v>7</v>
      </c>
    </row>
    <row r="11" customFormat="false" ht="15.75" hidden="false" customHeight="true" outlineLevel="0" collapsed="false">
      <c r="A11" s="23" t="s">
        <v>78</v>
      </c>
      <c r="B11" s="24" t="n">
        <v>98</v>
      </c>
      <c r="C11" s="25" t="s">
        <v>21</v>
      </c>
      <c r="D11" s="25"/>
      <c r="E11" s="25" t="s">
        <v>23</v>
      </c>
      <c r="F11" s="15" t="n">
        <v>0.835426089508392</v>
      </c>
      <c r="G11" s="15" t="n">
        <v>0.0392980942289739</v>
      </c>
      <c r="H11" s="15" t="n">
        <v>0.0203220019477597</v>
      </c>
      <c r="I11" s="25" t="n">
        <v>8</v>
      </c>
    </row>
    <row r="12" customFormat="false" ht="15.75" hidden="false" customHeight="true" outlineLevel="0" collapsed="false">
      <c r="A12" s="20" t="s">
        <v>79</v>
      </c>
      <c r="B12" s="21" t="n">
        <v>96</v>
      </c>
      <c r="C12" s="22" t="s">
        <v>21</v>
      </c>
      <c r="D12" s="22"/>
      <c r="E12" s="22" t="s">
        <v>23</v>
      </c>
      <c r="F12" s="11" t="n">
        <v>0.840969660825901</v>
      </c>
      <c r="G12" s="11" t="n">
        <v>0.029277291629712</v>
      </c>
      <c r="H12" s="11" t="n">
        <v>0.0328012310664991</v>
      </c>
      <c r="I12" s="22" t="n">
        <v>9</v>
      </c>
    </row>
    <row r="13" customFormat="false" ht="15.75" hidden="false" customHeight="true" outlineLevel="0" collapsed="false">
      <c r="A13" s="23" t="s">
        <v>80</v>
      </c>
      <c r="B13" s="24" t="n">
        <v>92</v>
      </c>
      <c r="C13" s="25" t="s">
        <v>21</v>
      </c>
      <c r="D13" s="25"/>
      <c r="E13" s="25" t="s">
        <v>23</v>
      </c>
      <c r="F13" s="15" t="n">
        <v>0.836075954989318</v>
      </c>
      <c r="G13" s="15" t="n">
        <v>0.0453022757189947</v>
      </c>
      <c r="H13" s="15" t="n">
        <v>0.0819224884668172</v>
      </c>
      <c r="I13" s="25" t="n">
        <v>10</v>
      </c>
    </row>
    <row r="14" customFormat="false" ht="15.75" hidden="false" customHeight="true" outlineLevel="0" collapsed="false">
      <c r="A14" s="20" t="s">
        <v>81</v>
      </c>
      <c r="B14" s="21" t="n">
        <v>98</v>
      </c>
      <c r="C14" s="22" t="s">
        <v>21</v>
      </c>
      <c r="D14" s="22"/>
      <c r="E14" s="22" t="s">
        <v>23</v>
      </c>
      <c r="F14" s="11" t="n">
        <v>0.841361253811227</v>
      </c>
      <c r="G14" s="11" t="n">
        <v>0.0648459819148521</v>
      </c>
      <c r="H14" s="11" t="n">
        <v>0</v>
      </c>
      <c r="I14" s="22" t="n">
        <v>11</v>
      </c>
    </row>
    <row r="15" customFormat="false" ht="15.75" hidden="false" customHeight="true" outlineLevel="0" collapsed="false">
      <c r="A15" s="23" t="s">
        <v>82</v>
      </c>
      <c r="B15" s="24" t="n">
        <v>94</v>
      </c>
      <c r="C15" s="25" t="s">
        <v>21</v>
      </c>
      <c r="D15" s="25"/>
      <c r="E15" s="25" t="s">
        <v>23</v>
      </c>
      <c r="F15" s="15" t="n">
        <v>0.842475786737022</v>
      </c>
      <c r="G15" s="15" t="n">
        <v>0.0552114061619531</v>
      </c>
      <c r="H15" s="15" t="n">
        <v>0.0460977241882393</v>
      </c>
      <c r="I15" s="25" t="n">
        <v>12</v>
      </c>
    </row>
    <row r="16" customFormat="false" ht="15.75" hidden="false" customHeight="true" outlineLevel="0" collapsed="false">
      <c r="A16" s="20" t="s">
        <v>83</v>
      </c>
      <c r="B16" s="21" t="n">
        <v>99</v>
      </c>
      <c r="C16" s="22" t="s">
        <v>21</v>
      </c>
      <c r="D16" s="22"/>
      <c r="E16" s="22" t="s">
        <v>23</v>
      </c>
      <c r="F16" s="11" t="n">
        <v>0.836537953044945</v>
      </c>
      <c r="G16" s="11" t="n">
        <v>0.0333139183193202</v>
      </c>
      <c r="H16" s="11" t="n">
        <v>0</v>
      </c>
      <c r="I16" s="22" t="n">
        <v>13</v>
      </c>
    </row>
    <row r="17" customFormat="false" ht="15.75" hidden="false" customHeight="true" outlineLevel="0" collapsed="false">
      <c r="A17" s="23" t="s">
        <v>84</v>
      </c>
      <c r="B17" s="24" t="n">
        <v>94</v>
      </c>
      <c r="C17" s="25" t="s">
        <v>21</v>
      </c>
      <c r="D17" s="25"/>
      <c r="E17" s="25" t="s">
        <v>23</v>
      </c>
      <c r="F17" s="15" t="n">
        <v>0.841890128387733</v>
      </c>
      <c r="G17" s="15" t="n">
        <v>0.0545977138877677</v>
      </c>
      <c r="H17" s="15" t="n">
        <v>0.0206174989526325</v>
      </c>
      <c r="I17" s="25" t="n">
        <v>14</v>
      </c>
    </row>
    <row r="18" customFormat="false" ht="15.75" hidden="false" customHeight="true" outlineLevel="0" collapsed="false">
      <c r="A18" s="20" t="s">
        <v>85</v>
      </c>
      <c r="B18" s="21" t="n">
        <v>103</v>
      </c>
      <c r="C18" s="22" t="s">
        <v>21</v>
      </c>
      <c r="D18" s="22"/>
      <c r="E18" s="22" t="s">
        <v>23</v>
      </c>
      <c r="F18" s="11" t="n">
        <v>0.840238342780809</v>
      </c>
      <c r="G18" s="11" t="n">
        <v>0.0577797606959326</v>
      </c>
      <c r="H18" s="11" t="n">
        <v>0.0549569131332821</v>
      </c>
      <c r="I18" s="22" t="n">
        <v>15</v>
      </c>
    </row>
    <row r="19" customFormat="false" ht="15.75" hidden="false" customHeight="true" outlineLevel="0" collapsed="false">
      <c r="A19" s="23" t="s">
        <v>86</v>
      </c>
      <c r="B19" s="24" t="n">
        <v>95</v>
      </c>
      <c r="C19" s="25" t="s">
        <v>21</v>
      </c>
      <c r="D19" s="25"/>
      <c r="E19" s="25" t="s">
        <v>23</v>
      </c>
      <c r="F19" s="15" t="n">
        <v>0.841466180479983</v>
      </c>
      <c r="G19" s="15" t="n">
        <v>0.038742138456983</v>
      </c>
      <c r="H19" s="15" t="n">
        <v>0.0324141604201002</v>
      </c>
      <c r="I19" s="25" t="n">
        <v>16</v>
      </c>
    </row>
    <row r="20" customFormat="false" ht="15.75" hidden="false" customHeight="true" outlineLevel="0" collapsed="false">
      <c r="A20" s="20" t="s">
        <v>87</v>
      </c>
      <c r="B20" s="21" t="n">
        <v>96</v>
      </c>
      <c r="C20" s="22" t="s">
        <v>21</v>
      </c>
      <c r="D20" s="22"/>
      <c r="E20" s="22" t="s">
        <v>23</v>
      </c>
      <c r="F20" s="11" t="n">
        <v>0.844690378947962</v>
      </c>
      <c r="G20" s="11" t="n">
        <v>0.0543058765891829</v>
      </c>
      <c r="H20" s="11" t="n">
        <v>0.00728961488555527</v>
      </c>
      <c r="I20" s="22" t="n">
        <v>17</v>
      </c>
    </row>
    <row r="21" customFormat="false" ht="15.75" hidden="false" customHeight="true" outlineLevel="0" collapsed="false">
      <c r="A21" s="23" t="s">
        <v>88</v>
      </c>
      <c r="B21" s="24" t="n">
        <v>100</v>
      </c>
      <c r="C21" s="25" t="s">
        <v>21</v>
      </c>
      <c r="D21" s="25"/>
      <c r="E21" s="25" t="s">
        <v>23</v>
      </c>
      <c r="F21" s="15" t="n">
        <v>0.838263835651991</v>
      </c>
      <c r="G21" s="15" t="n">
        <v>0.05287313077669</v>
      </c>
      <c r="H21" s="15" t="n">
        <v>0.0152633183962807</v>
      </c>
      <c r="I21" s="25" t="n">
        <v>18</v>
      </c>
    </row>
    <row r="22" customFormat="false" ht="15.75" hidden="false" customHeight="true" outlineLevel="0" collapsed="false">
      <c r="A22" s="20" t="s">
        <v>89</v>
      </c>
      <c r="B22" s="21" t="n">
        <v>93</v>
      </c>
      <c r="C22" s="22" t="s">
        <v>21</v>
      </c>
      <c r="D22" s="22"/>
      <c r="E22" s="22" t="s">
        <v>23</v>
      </c>
      <c r="F22" s="11" t="n">
        <v>0.836738791506928</v>
      </c>
      <c r="G22" s="11" t="n">
        <v>0.0348554455325407</v>
      </c>
      <c r="H22" s="11" t="n">
        <v>0.0459511504765629</v>
      </c>
      <c r="I22" s="22" t="n">
        <v>19</v>
      </c>
    </row>
    <row r="23" customFormat="false" ht="15.75" hidden="false" customHeight="true" outlineLevel="0" collapsed="false">
      <c r="A23" s="23" t="s">
        <v>90</v>
      </c>
      <c r="B23" s="24" t="n">
        <v>98</v>
      </c>
      <c r="C23" s="25" t="s">
        <v>21</v>
      </c>
      <c r="D23" s="25"/>
      <c r="E23" s="25" t="s">
        <v>23</v>
      </c>
      <c r="F23" s="15" t="n">
        <v>0.836331456711123</v>
      </c>
      <c r="G23" s="15" t="n">
        <v>0.0573668104052243</v>
      </c>
      <c r="H23" s="15" t="n">
        <v>0.014931934102223</v>
      </c>
      <c r="I23" s="25" t="n">
        <v>20</v>
      </c>
    </row>
    <row r="24" customFormat="false" ht="15.75" hidden="false" customHeight="true" outlineLevel="0" collapsed="false">
      <c r="A24" s="20" t="s">
        <v>91</v>
      </c>
      <c r="B24" s="21" t="n">
        <v>102</v>
      </c>
      <c r="C24" s="22" t="s">
        <v>21</v>
      </c>
      <c r="D24" s="22"/>
      <c r="E24" s="22" t="s">
        <v>23</v>
      </c>
      <c r="F24" s="11" t="n">
        <v>0.836552569145104</v>
      </c>
      <c r="G24" s="11" t="n">
        <v>0.0604117678955235</v>
      </c>
      <c r="H24" s="11" t="n">
        <v>0.0357620889708035</v>
      </c>
      <c r="I24" s="22" t="n">
        <v>21</v>
      </c>
    </row>
    <row r="25" customFormat="false" ht="15.75" hidden="false" customHeight="true" outlineLevel="0" collapsed="false">
      <c r="A25" s="23" t="s">
        <v>92</v>
      </c>
      <c r="B25" s="24" t="n">
        <v>92</v>
      </c>
      <c r="C25" s="25" t="s">
        <v>21</v>
      </c>
      <c r="D25" s="25"/>
      <c r="E25" s="25" t="s">
        <v>23</v>
      </c>
      <c r="F25" s="15" t="n">
        <v>0.838768694871758</v>
      </c>
      <c r="G25" s="15" t="n">
        <v>0.0682457686476292</v>
      </c>
      <c r="H25" s="15" t="n">
        <v>0.0320025804778839</v>
      </c>
      <c r="I25" s="25" t="n">
        <v>22</v>
      </c>
    </row>
    <row r="26" customFormat="false" ht="15.75" hidden="false" customHeight="true" outlineLevel="0" collapsed="false">
      <c r="A26" s="20" t="s">
        <v>93</v>
      </c>
      <c r="B26" s="21" t="n">
        <v>98</v>
      </c>
      <c r="C26" s="22" t="s">
        <v>21</v>
      </c>
      <c r="D26" s="22"/>
      <c r="E26" s="22" t="s">
        <v>23</v>
      </c>
      <c r="F26" s="11" t="n">
        <v>0.84002345592445</v>
      </c>
      <c r="G26" s="11" t="n">
        <v>0.0678070307805235</v>
      </c>
      <c r="H26" s="11" t="n">
        <v>0.016664792352672</v>
      </c>
      <c r="I26" s="22" t="n">
        <v>23</v>
      </c>
    </row>
    <row r="27" customFormat="false" ht="15.75" hidden="false" customHeight="true" outlineLevel="0" collapsed="false">
      <c r="A27" s="23" t="s">
        <v>94</v>
      </c>
      <c r="B27" s="24" t="n">
        <v>98</v>
      </c>
      <c r="C27" s="25" t="s">
        <v>21</v>
      </c>
      <c r="D27" s="25"/>
      <c r="E27" s="25" t="s">
        <v>23</v>
      </c>
      <c r="F27" s="15" t="n">
        <v>0.83983007239799</v>
      </c>
      <c r="G27" s="15" t="n">
        <v>0.0313349594806436</v>
      </c>
      <c r="H27" s="15" t="n">
        <v>0.0781667699651572</v>
      </c>
      <c r="I27" s="25" t="n">
        <v>24</v>
      </c>
    </row>
    <row r="28" customFormat="false" ht="15.75" hidden="false" customHeight="true" outlineLevel="0" collapsed="false">
      <c r="A28" s="20" t="s">
        <v>95</v>
      </c>
      <c r="B28" s="21" t="n">
        <v>100</v>
      </c>
      <c r="C28" s="22" t="s">
        <v>21</v>
      </c>
      <c r="D28" s="22"/>
      <c r="E28" s="22" t="s">
        <v>23</v>
      </c>
      <c r="F28" s="11" t="n">
        <v>0.841481549747108</v>
      </c>
      <c r="G28" s="11" t="n">
        <v>0.0379326244012732</v>
      </c>
      <c r="H28" s="11" t="n">
        <v>0.0449462184909963</v>
      </c>
      <c r="I28" s="22" t="n">
        <v>25</v>
      </c>
    </row>
    <row r="29" customFormat="false" ht="15.75" hidden="false" customHeight="true" outlineLevel="0" collapsed="false">
      <c r="A29" s="23" t="s">
        <v>96</v>
      </c>
      <c r="B29" s="24" t="n">
        <v>93</v>
      </c>
      <c r="C29" s="25" t="s">
        <v>21</v>
      </c>
      <c r="D29" s="25"/>
      <c r="E29" s="25" t="s">
        <v>23</v>
      </c>
      <c r="F29" s="15" t="n">
        <v>0.839039005675634</v>
      </c>
      <c r="G29" s="15" t="n">
        <v>0.0597255290081299</v>
      </c>
      <c r="H29" s="15" t="n">
        <v>0</v>
      </c>
      <c r="I29" s="25" t="n">
        <v>26</v>
      </c>
    </row>
    <row r="30" customFormat="false" ht="15.75" hidden="false" customHeight="true" outlineLevel="0" collapsed="false">
      <c r="A30" s="20" t="s">
        <v>97</v>
      </c>
      <c r="B30" s="21" t="n">
        <v>93</v>
      </c>
      <c r="C30" s="22" t="s">
        <v>21</v>
      </c>
      <c r="D30" s="22"/>
      <c r="E30" s="22" t="s">
        <v>23</v>
      </c>
      <c r="F30" s="11" t="n">
        <v>0.843360602231472</v>
      </c>
      <c r="G30" s="11" t="n">
        <v>0.0597067892636831</v>
      </c>
      <c r="H30" s="11" t="n">
        <v>0.0351019949249274</v>
      </c>
      <c r="I30" s="22" t="n">
        <v>27</v>
      </c>
    </row>
    <row r="31" customFormat="false" ht="15.75" hidden="false" customHeight="true" outlineLevel="0" collapsed="false">
      <c r="A31" s="23" t="s">
        <v>98</v>
      </c>
      <c r="B31" s="24" t="n">
        <v>99</v>
      </c>
      <c r="C31" s="25" t="s">
        <v>21</v>
      </c>
      <c r="D31" s="25"/>
      <c r="E31" s="25" t="s">
        <v>23</v>
      </c>
      <c r="F31" s="15" t="n">
        <v>0.838206029500286</v>
      </c>
      <c r="G31" s="15" t="n">
        <v>0.0597257152945907</v>
      </c>
      <c r="H31" s="15" t="n">
        <v>0.0164406977750955</v>
      </c>
      <c r="I31" s="25" t="n">
        <v>28</v>
      </c>
    </row>
    <row r="32" customFormat="false" ht="15.75" hidden="false" customHeight="true" outlineLevel="0" collapsed="false">
      <c r="A32" s="20" t="s">
        <v>99</v>
      </c>
      <c r="B32" s="21" t="n">
        <v>99</v>
      </c>
      <c r="C32" s="22" t="s">
        <v>21</v>
      </c>
      <c r="D32" s="22"/>
      <c r="E32" s="22" t="s">
        <v>23</v>
      </c>
      <c r="F32" s="11" t="n">
        <v>0.847160507499769</v>
      </c>
      <c r="G32" s="11" t="n">
        <v>0.109790972359821</v>
      </c>
      <c r="H32" s="11" t="n">
        <v>0.0497535333655169</v>
      </c>
      <c r="I32" s="22" t="n">
        <v>29</v>
      </c>
    </row>
    <row r="33" customFormat="false" ht="18" hidden="false" customHeight="true" outlineLevel="0" collapsed="false">
      <c r="A33" s="26" t="s">
        <v>53</v>
      </c>
      <c r="B33" s="27" t="n">
        <f aca="false">AVERAGE(B3:B32)</f>
        <v>97.1333333333333</v>
      </c>
      <c r="C33" s="28"/>
      <c r="D33" s="28"/>
      <c r="E33" s="28"/>
      <c r="F33" s="29" t="n">
        <f aca="false">AVERAGE(F3:F32)</f>
        <v>0.839836359864839</v>
      </c>
      <c r="G33" s="29" t="n">
        <f aca="false">AVERAGE(G3:G32)</f>
        <v>0.052983884779605</v>
      </c>
      <c r="H33" s="29" t="n">
        <f aca="false">AVERAGE(H3:H32)</f>
        <v>0.0329938876468154</v>
      </c>
      <c r="I33" s="28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6"/>
    <col collapsed="false" customWidth="true" hidden="false" outlineLevel="0" max="6" min="6" style="0" width="24"/>
  </cols>
  <sheetData>
    <row r="1" customFormat="false" ht="25.5" hidden="false" customHeight="true" outlineLevel="0" collapsed="false">
      <c r="A1" s="30" t="s">
        <v>105</v>
      </c>
      <c r="B1" s="30"/>
      <c r="C1" s="30"/>
      <c r="D1" s="30"/>
      <c r="E1" s="30"/>
      <c r="F1" s="30"/>
    </row>
    <row r="2" customFormat="false" ht="7.5" hidden="false" customHeight="true" outlineLevel="0" collapsed="false"/>
    <row r="3" customFormat="false" ht="18" hidden="false" customHeight="true" outlineLevel="0" collapsed="false">
      <c r="A3" s="37" t="s">
        <v>69</v>
      </c>
      <c r="B3" s="37"/>
      <c r="C3" s="37"/>
      <c r="D3" s="37"/>
      <c r="E3" s="37"/>
      <c r="F3" s="37"/>
    </row>
    <row r="4" customFormat="false" ht="19.5" hidden="false" customHeight="true" outlineLevel="0" collapsed="false">
      <c r="A4" s="2" t="s">
        <v>1</v>
      </c>
      <c r="B4" s="2" t="s">
        <v>5</v>
      </c>
      <c r="C4" s="2" t="s">
        <v>6</v>
      </c>
      <c r="D4" s="2" t="s">
        <v>55</v>
      </c>
      <c r="E4" s="2" t="s">
        <v>56</v>
      </c>
      <c r="F4" s="2" t="s">
        <v>57</v>
      </c>
    </row>
    <row r="5" customFormat="false" ht="18" hidden="false" customHeight="true" outlineLevel="0" collapsed="false">
      <c r="A5" s="10" t="s">
        <v>9</v>
      </c>
      <c r="B5" s="11" t="n">
        <f aca="false">AVERAGE('Adversarial — Raw Data'!F3:F32)</f>
        <v>0.839836359864839</v>
      </c>
      <c r="C5" s="11" t="n">
        <f aca="false">STDEV('Adversarial — Raw Data'!F3:F32)</f>
        <v>0.00284209780403888</v>
      </c>
      <c r="D5" s="11" t="n">
        <f aca="false">MIN('Adversarial — Raw Data'!F3:F32)</f>
        <v>0.835426089508392</v>
      </c>
      <c r="E5" s="11" t="n">
        <f aca="false">MAX('Adversarial — Raw Data'!F3:F32)</f>
        <v>0.847160507499769</v>
      </c>
      <c r="F5" s="22" t="s">
        <v>106</v>
      </c>
    </row>
    <row r="6" customFormat="false" ht="18" hidden="false" customHeight="true" outlineLevel="0" collapsed="false">
      <c r="A6" s="14" t="s">
        <v>10</v>
      </c>
      <c r="B6" s="15" t="n">
        <f aca="false">AVERAGE('Adversarial — Raw Data'!H3:H32)</f>
        <v>0.0329938876468154</v>
      </c>
      <c r="C6" s="15" t="n">
        <f aca="false">STDEV('Adversarial — Raw Data'!H3:H32)</f>
        <v>0.0211538243632528</v>
      </c>
      <c r="D6" s="15" t="n">
        <f aca="false">MIN('Adversarial — Raw Data'!H3:H32)</f>
        <v>0</v>
      </c>
      <c r="E6" s="15" t="n">
        <f aca="false">MAX('Adversarial — Raw Data'!H3:H32)</f>
        <v>0.0819224884668172</v>
      </c>
      <c r="F6" s="25" t="s">
        <v>107</v>
      </c>
    </row>
    <row r="7" customFormat="false" ht="18" hidden="false" customHeight="true" outlineLevel="0" collapsed="false">
      <c r="A7" s="10" t="s">
        <v>11</v>
      </c>
      <c r="B7" s="11" t="n">
        <f aca="false">AVERAGE('Adversarial — Raw Data'!G3:G32)</f>
        <v>0.052983884779605</v>
      </c>
      <c r="C7" s="11" t="n">
        <f aca="false">STDEV('Adversarial — Raw Data'!G3:G32)</f>
        <v>0.0157918414547032</v>
      </c>
      <c r="D7" s="11" t="n">
        <f aca="false">MIN('Adversarial — Raw Data'!G3:G32)</f>
        <v>0.029277291629712</v>
      </c>
      <c r="E7" s="11" t="n">
        <f aca="false">MAX('Adversarial — Raw Data'!G3:G32)</f>
        <v>0.109790972359821</v>
      </c>
      <c r="F7" s="22" t="s">
        <v>108</v>
      </c>
    </row>
    <row r="8" customFormat="false" ht="18" hidden="false" customHeight="true" outlineLevel="0" collapsed="false">
      <c r="A8" s="14" t="s">
        <v>12</v>
      </c>
      <c r="B8" s="16" t="n">
        <f aca="false">AVERAGE('Adversarial — Raw Data'!B3:B32)</f>
        <v>97.1333333333333</v>
      </c>
      <c r="C8" s="16" t="n">
        <f aca="false">STDEV('Adversarial — Raw Data'!B3:B32)</f>
        <v>3.52071048211161</v>
      </c>
      <c r="D8" s="16" t="n">
        <f aca="false">MIN('Adversarial — Raw Data'!B3:B32)</f>
        <v>92</v>
      </c>
      <c r="E8" s="16" t="n">
        <f aca="false">MAX('Adversarial — Raw Data'!B3:B32)</f>
        <v>105</v>
      </c>
      <c r="F8" s="25" t="s">
        <v>109</v>
      </c>
    </row>
    <row r="10" customFormat="false" ht="19.5" hidden="false" customHeight="true" outlineLevel="0" collapsed="false">
      <c r="A10" s="31" t="s">
        <v>62</v>
      </c>
      <c r="B10" s="31"/>
      <c r="C10" s="31"/>
      <c r="D10" s="31"/>
      <c r="E10" s="31"/>
      <c r="F10" s="31"/>
    </row>
    <row r="11" customFormat="false" ht="19.5" hidden="false" customHeight="true" outlineLevel="0" collapsed="false">
      <c r="A11" s="2" t="s">
        <v>1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</row>
    <row r="12" customFormat="false" ht="18" hidden="false" customHeight="true" outlineLevel="0" collapsed="false">
      <c r="A12" s="10" t="s">
        <v>9</v>
      </c>
      <c r="B12" s="32" t="n">
        <v>1618.5133</v>
      </c>
      <c r="C12" s="33" t="n">
        <v>2.02922045519806E-073</v>
      </c>
      <c r="D12" s="34" t="s">
        <v>68</v>
      </c>
      <c r="E12" s="22" t="n">
        <v>29</v>
      </c>
      <c r="F12" s="22" t="n">
        <v>30</v>
      </c>
    </row>
    <row r="13" customFormat="false" ht="18" hidden="false" customHeight="true" outlineLevel="0" collapsed="false">
      <c r="A13" s="14" t="s">
        <v>10</v>
      </c>
      <c r="B13" s="35" t="n">
        <v>8.5429</v>
      </c>
      <c r="C13" s="36" t="n">
        <v>2.06765252550085E-009</v>
      </c>
      <c r="D13" s="34" t="s">
        <v>68</v>
      </c>
      <c r="E13" s="25" t="n">
        <v>29</v>
      </c>
      <c r="F13" s="25" t="n">
        <v>30</v>
      </c>
    </row>
    <row r="14" customFormat="false" ht="18" hidden="false" customHeight="true" outlineLevel="0" collapsed="false">
      <c r="A14" s="10" t="s">
        <v>11</v>
      </c>
      <c r="B14" s="32" t="n">
        <v>18.3769</v>
      </c>
      <c r="C14" s="33" t="n">
        <v>1.60616912285508E-017</v>
      </c>
      <c r="D14" s="34" t="s">
        <v>68</v>
      </c>
      <c r="E14" s="22" t="n">
        <v>29</v>
      </c>
      <c r="F14" s="22" t="n">
        <v>30</v>
      </c>
    </row>
    <row r="15" customFormat="false" ht="18" hidden="false" customHeight="true" outlineLevel="0" collapsed="false">
      <c r="A15" s="14" t="s">
        <v>12</v>
      </c>
      <c r="B15" s="35" t="n">
        <v>151.1119</v>
      </c>
      <c r="C15" s="36" t="n">
        <v>1.46007331395333E-043</v>
      </c>
      <c r="D15" s="34" t="s">
        <v>68</v>
      </c>
      <c r="E15" s="25" t="n">
        <v>29</v>
      </c>
      <c r="F15" s="25" t="n">
        <v>30</v>
      </c>
    </row>
  </sheetData>
  <mergeCells count="3">
    <mergeCell ref="A1:F1"/>
    <mergeCell ref="A3:F3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2026-06-10T09:38:16Z</dcterms:created>
  <dc:creator>openpyxl</dc:creator>
  <dc:description/>
  <dc:language>en-US</dc:language>
  <cp:lastModifiedBy/>
  <dcterms:modified xsi:type="dcterms:W3CDTF">2026-06-10T09:38:17Z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